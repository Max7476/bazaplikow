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131" codeName="{26A90621-87C4-6C01-FD6A-EE6E7C140903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msm1\OneDrive\Pulpit\VBA_PACZKI\"/>
    </mc:Choice>
  </mc:AlternateContent>
  <xr:revisionPtr revIDLastSave="0" documentId="13_ncr:1_{123F5B97-BF0D-4F17-B598-46F216D897D1}" xr6:coauthVersionLast="47" xr6:coauthVersionMax="47" xr10:uidLastSave="{00000000-0000-0000-0000-000000000000}"/>
  <bookViews>
    <workbookView xWindow="-108" yWindow="-108" windowWidth="23256" windowHeight="12456" tabRatio="814" xr2:uid="{00000000-000D-0000-FFFF-FFFF00000000}"/>
  </bookViews>
  <sheets>
    <sheet name="Faz_Puchar" sheetId="28" r:id="rId1"/>
    <sheet name="Obstawienia" sheetId="1" r:id="rId2"/>
    <sheet name="Tabele_Grup_A_L" sheetId="8" r:id="rId3"/>
    <sheet name="Wyniki_Meczow_2026" sheetId="26" r:id="rId4"/>
    <sheet name="Wyniki_Faz_Puchar" sheetId="29" r:id="rId5"/>
    <sheet name="Faz_Puch_TAB_2026" sheetId="18" r:id="rId6"/>
    <sheet name="1" sheetId="25" state="hidden" r:id="rId7"/>
  </sheets>
  <definedNames>
    <definedName name="ExternalData_1" localSheetId="3" hidden="1">Wyniki_Meczow_2026!$A$1:$G$73</definedName>
    <definedName name="ExternalData_14" localSheetId="5" hidden="1">Faz_Puch_TAB_2026!$A$1:$C$4</definedName>
    <definedName name="ExternalData_2" localSheetId="4" hidden="1">Wyniki_Faz_Puchar!$A$2:$G$34</definedName>
    <definedName name="ExternalData_4" localSheetId="2" hidden="1">Tabele_Grup_A_L!$A$1:$K$60</definedName>
    <definedName name="_xlnm.Print_Area" localSheetId="0">Faz_Puchar!$A$1:$CE$59</definedName>
    <definedName name="_xlnm.Print_Area" localSheetId="1">Obstawienia!$A$1:$CE$96</definedName>
  </definedNames>
  <calcPr calcId="191029" iterate="1"/>
</workbook>
</file>

<file path=xl/calcChain.xml><?xml version="1.0" encoding="utf-8"?>
<calcChain xmlns="http://schemas.openxmlformats.org/spreadsheetml/2006/main">
  <c r="B39" i="28" l="1"/>
  <c r="B37" i="28"/>
  <c r="C37" i="28"/>
  <c r="C39" i="28"/>
  <c r="CE39" i="28"/>
  <c r="CA39" i="28"/>
  <c r="BZ39" i="28"/>
  <c r="BV39" i="28"/>
  <c r="BU39" i="28"/>
  <c r="BQ39" i="28"/>
  <c r="BL39" i="28"/>
  <c r="BG39" i="28"/>
  <c r="BB39" i="28"/>
  <c r="BF39" i="28" s="1"/>
  <c r="AW39" i="28"/>
  <c r="AR39" i="28"/>
  <c r="AM39" i="28"/>
  <c r="AH39" i="28"/>
  <c r="AC39" i="28"/>
  <c r="X39" i="28"/>
  <c r="S39" i="28"/>
  <c r="N39" i="28"/>
  <c r="I39" i="28"/>
  <c r="M39" i="28" s="1"/>
  <c r="G39" i="28"/>
  <c r="BP39" i="28" s="1"/>
  <c r="CE38" i="28"/>
  <c r="CA38" i="28"/>
  <c r="BV38" i="28"/>
  <c r="BU38" i="28"/>
  <c r="BQ38" i="28"/>
  <c r="CE37" i="28"/>
  <c r="CA37" i="28"/>
  <c r="BV37" i="28"/>
  <c r="BU37" i="28"/>
  <c r="BQ37" i="28"/>
  <c r="BL37" i="28"/>
  <c r="BK37" i="28"/>
  <c r="BG37" i="28"/>
  <c r="BB37" i="28"/>
  <c r="AW37" i="28"/>
  <c r="AR37" i="28"/>
  <c r="AQ37" i="28"/>
  <c r="AM37" i="28"/>
  <c r="AH37" i="28"/>
  <c r="AG37" i="28"/>
  <c r="AC37" i="28"/>
  <c r="X37" i="28"/>
  <c r="S37" i="28"/>
  <c r="N37" i="28"/>
  <c r="I37" i="28"/>
  <c r="M37" i="28" s="1"/>
  <c r="G37" i="28"/>
  <c r="BF37" i="28" s="1"/>
  <c r="CE36" i="28"/>
  <c r="CA36" i="28"/>
  <c r="BV36" i="28"/>
  <c r="BU36" i="28"/>
  <c r="BQ36" i="28"/>
  <c r="CE35" i="28"/>
  <c r="CA35" i="28"/>
  <c r="BV35" i="28"/>
  <c r="BU35" i="28"/>
  <c r="BQ35" i="28"/>
  <c r="BP35" i="28"/>
  <c r="BL35" i="28"/>
  <c r="BK35" i="28"/>
  <c r="BG35" i="28"/>
  <c r="BB35" i="28"/>
  <c r="AW35" i="28"/>
  <c r="AR35" i="28"/>
  <c r="AM35" i="28"/>
  <c r="AH35" i="28"/>
  <c r="AG35" i="28"/>
  <c r="AC35" i="28"/>
  <c r="X35" i="28"/>
  <c r="S35" i="28"/>
  <c r="N35" i="28"/>
  <c r="I35" i="28"/>
  <c r="G35" i="28"/>
  <c r="BF35" i="28" s="1"/>
  <c r="CE34" i="28"/>
  <c r="CA34" i="28"/>
  <c r="BV34" i="28"/>
  <c r="BU34" i="28"/>
  <c r="BQ34" i="28"/>
  <c r="BL34" i="28"/>
  <c r="BG34" i="28"/>
  <c r="BB34" i="28"/>
  <c r="BA34" i="28"/>
  <c r="AW34" i="28"/>
  <c r="AV34" i="28"/>
  <c r="AR34" i="28"/>
  <c r="AM34" i="28"/>
  <c r="AH34" i="28"/>
  <c r="AC34" i="28"/>
  <c r="X34" i="28"/>
  <c r="W34" i="28"/>
  <c r="S34" i="28"/>
  <c r="R34" i="28"/>
  <c r="N34" i="28"/>
  <c r="I34" i="28"/>
  <c r="G34" i="28"/>
  <c r="AQ34" i="28" s="1"/>
  <c r="CE33" i="28"/>
  <c r="CA33" i="28"/>
  <c r="BV33" i="28"/>
  <c r="BU33" i="28"/>
  <c r="BQ33" i="28"/>
  <c r="CE32" i="28"/>
  <c r="CA32" i="28"/>
  <c r="BV32" i="28"/>
  <c r="BU32" i="28"/>
  <c r="BQ32" i="28"/>
  <c r="BP32" i="28"/>
  <c r="BL32" i="28"/>
  <c r="BG32" i="28"/>
  <c r="BB32" i="28"/>
  <c r="BA32" i="28"/>
  <c r="AW32" i="28"/>
  <c r="AR32" i="28"/>
  <c r="AM32" i="28"/>
  <c r="AH32" i="28"/>
  <c r="AC32" i="28"/>
  <c r="X32" i="28"/>
  <c r="W32" i="28"/>
  <c r="S32" i="28"/>
  <c r="R32" i="28"/>
  <c r="N32" i="28"/>
  <c r="I32" i="28"/>
  <c r="G32" i="28"/>
  <c r="AQ32" i="28" s="1"/>
  <c r="CE31" i="28"/>
  <c r="CA31" i="28"/>
  <c r="BV31" i="28"/>
  <c r="BU31" i="28"/>
  <c r="BQ31" i="28"/>
  <c r="BL31" i="28"/>
  <c r="BG31" i="28"/>
  <c r="BB31" i="28"/>
  <c r="AW31" i="28"/>
  <c r="AR31" i="28"/>
  <c r="AM31" i="28"/>
  <c r="AL31" i="28"/>
  <c r="AH31" i="28"/>
  <c r="AC31" i="28"/>
  <c r="X31" i="28"/>
  <c r="S31" i="28"/>
  <c r="N31" i="28"/>
  <c r="I31" i="28"/>
  <c r="G31" i="28"/>
  <c r="AG31" i="28" s="1"/>
  <c r="CE30" i="28"/>
  <c r="CA30" i="28"/>
  <c r="BV30" i="28"/>
  <c r="BU30" i="28"/>
  <c r="BQ30" i="28"/>
  <c r="BL30" i="28"/>
  <c r="BG30" i="28"/>
  <c r="BB30" i="28"/>
  <c r="BA30" i="28"/>
  <c r="AW30" i="28"/>
  <c r="AV30" i="28"/>
  <c r="AR30" i="28"/>
  <c r="AM30" i="28"/>
  <c r="AH30" i="28"/>
  <c r="AC30" i="28"/>
  <c r="X30" i="28"/>
  <c r="S30" i="28"/>
  <c r="R30" i="28"/>
  <c r="N30" i="28"/>
  <c r="I30" i="28"/>
  <c r="G30" i="28"/>
  <c r="AQ30" i="28" s="1"/>
  <c r="CE29" i="28"/>
  <c r="CA29" i="28"/>
  <c r="BZ29" i="28"/>
  <c r="BV29" i="28"/>
  <c r="BU29" i="28"/>
  <c r="BQ29" i="28"/>
  <c r="BL29" i="28"/>
  <c r="BP29" i="28" s="1"/>
  <c r="BG29" i="28"/>
  <c r="BK29" i="28" s="1"/>
  <c r="BF29" i="28"/>
  <c r="BB29" i="28"/>
  <c r="AW29" i="28"/>
  <c r="BA29" i="28" s="1"/>
  <c r="AR29" i="28"/>
  <c r="AM29" i="28"/>
  <c r="AQ29" i="28" s="1"/>
  <c r="AH29" i="28"/>
  <c r="AL29" i="28" s="1"/>
  <c r="AC29" i="28"/>
  <c r="X29" i="28"/>
  <c r="S29" i="28"/>
  <c r="N29" i="28"/>
  <c r="R29" i="28" s="1"/>
  <c r="I29" i="28"/>
  <c r="G29" i="28"/>
  <c r="CE27" i="28"/>
  <c r="CA27" i="28"/>
  <c r="BZ27" i="28"/>
  <c r="BV27" i="28"/>
  <c r="BU27" i="28"/>
  <c r="BQ27" i="28"/>
  <c r="BP27" i="28"/>
  <c r="BL27" i="28"/>
  <c r="BG27" i="28"/>
  <c r="BB27" i="28"/>
  <c r="AW27" i="28"/>
  <c r="BA27" i="28" s="1"/>
  <c r="AR27" i="28"/>
  <c r="AM27" i="28"/>
  <c r="AQ27" i="28" s="1"/>
  <c r="AH27" i="28"/>
  <c r="AL27" i="28" s="1"/>
  <c r="AC27" i="28"/>
  <c r="X27" i="28"/>
  <c r="S27" i="28"/>
  <c r="N27" i="28"/>
  <c r="I27" i="28"/>
  <c r="G27" i="28"/>
  <c r="AG27" i="28" s="1"/>
  <c r="CE26" i="28"/>
  <c r="CA26" i="28"/>
  <c r="BZ26" i="28"/>
  <c r="BV26" i="28"/>
  <c r="BU26" i="28"/>
  <c r="BQ26" i="28"/>
  <c r="BL26" i="28"/>
  <c r="BP26" i="28" s="1"/>
  <c r="BG26" i="28"/>
  <c r="BF26" i="28"/>
  <c r="BB26" i="28"/>
  <c r="AW26" i="28"/>
  <c r="AR26" i="28"/>
  <c r="AM26" i="28"/>
  <c r="AH26" i="28"/>
  <c r="AC26" i="28"/>
  <c r="X26" i="28"/>
  <c r="S26" i="28"/>
  <c r="N26" i="28"/>
  <c r="I26" i="28"/>
  <c r="G26" i="28"/>
  <c r="CE25" i="28"/>
  <c r="CA25" i="28"/>
  <c r="BZ25" i="28"/>
  <c r="BV25" i="28"/>
  <c r="BU25" i="28"/>
  <c r="BQ25" i="28"/>
  <c r="BL25" i="28"/>
  <c r="BP25" i="28" s="1"/>
  <c r="BG25" i="28"/>
  <c r="BB25" i="28"/>
  <c r="BF25" i="28" s="1"/>
  <c r="AW25" i="28"/>
  <c r="AR25" i="28"/>
  <c r="AM25" i="28"/>
  <c r="AH25" i="28"/>
  <c r="AC25" i="28"/>
  <c r="X25" i="28"/>
  <c r="S25" i="28"/>
  <c r="N25" i="28"/>
  <c r="I25" i="28"/>
  <c r="G25" i="28"/>
  <c r="M25" i="28" s="1"/>
  <c r="CE24" i="28"/>
  <c r="CA24" i="28"/>
  <c r="BZ24" i="28"/>
  <c r="BV24" i="28"/>
  <c r="BU24" i="28"/>
  <c r="BQ24" i="28"/>
  <c r="BL24" i="28"/>
  <c r="BG24" i="28"/>
  <c r="BB24" i="28"/>
  <c r="BF24" i="28" s="1"/>
  <c r="AW24" i="28"/>
  <c r="BA24" i="28" s="1"/>
  <c r="AR24" i="28"/>
  <c r="AM24" i="28"/>
  <c r="AQ24" i="28" s="1"/>
  <c r="AH24" i="28"/>
  <c r="AC24" i="28"/>
  <c r="X24" i="28"/>
  <c r="S24" i="28"/>
  <c r="N24" i="28"/>
  <c r="I24" i="28"/>
  <c r="G24" i="28"/>
  <c r="CE23" i="28"/>
  <c r="CA23" i="28"/>
  <c r="BZ23" i="28"/>
  <c r="BV23" i="28"/>
  <c r="BU23" i="28"/>
  <c r="BQ23" i="28"/>
  <c r="BL23" i="28"/>
  <c r="BG23" i="28"/>
  <c r="BK23" i="28" s="1"/>
  <c r="BB23" i="28"/>
  <c r="AW23" i="28"/>
  <c r="BA23" i="28" s="1"/>
  <c r="AR23" i="28"/>
  <c r="AM23" i="28"/>
  <c r="AQ23" i="28" s="1"/>
  <c r="AH23" i="28"/>
  <c r="AC23" i="28"/>
  <c r="X23" i="28"/>
  <c r="S23" i="28"/>
  <c r="R23" i="28"/>
  <c r="N23" i="28"/>
  <c r="I23" i="28"/>
  <c r="G23" i="28"/>
  <c r="BP23" i="28" s="1"/>
  <c r="CE22" i="28"/>
  <c r="CA22" i="28"/>
  <c r="BZ22" i="28"/>
  <c r="BV22" i="28"/>
  <c r="BU22" i="28"/>
  <c r="BQ22" i="28"/>
  <c r="BL22" i="28"/>
  <c r="BP22" i="28" s="1"/>
  <c r="BG22" i="28"/>
  <c r="BB22" i="28"/>
  <c r="AW22" i="28"/>
  <c r="AR22" i="28"/>
  <c r="AQ22" i="28"/>
  <c r="AM22" i="28"/>
  <c r="AH22" i="28"/>
  <c r="AC22" i="28"/>
  <c r="X22" i="28"/>
  <c r="S22" i="28"/>
  <c r="N22" i="28"/>
  <c r="I22" i="28"/>
  <c r="G22" i="28"/>
  <c r="CE21" i="28"/>
  <c r="CA21" i="28"/>
  <c r="BZ21" i="28"/>
  <c r="BV21" i="28"/>
  <c r="BU21" i="28"/>
  <c r="BQ21" i="28"/>
  <c r="BL21" i="28"/>
  <c r="BG21" i="28"/>
  <c r="BB21" i="28"/>
  <c r="BF21" i="28" s="1"/>
  <c r="AW21" i="28"/>
  <c r="AR21" i="28"/>
  <c r="AM21" i="28"/>
  <c r="AH21" i="28"/>
  <c r="AC21" i="28"/>
  <c r="X21" i="28"/>
  <c r="S21" i="28"/>
  <c r="N21" i="28"/>
  <c r="I21" i="28"/>
  <c r="G21" i="28"/>
  <c r="AL21" i="28" s="1"/>
  <c r="CE20" i="28"/>
  <c r="CA20" i="28"/>
  <c r="BZ20" i="28"/>
  <c r="BV20" i="28"/>
  <c r="BU20" i="28"/>
  <c r="BQ20" i="28"/>
  <c r="BL20" i="28"/>
  <c r="BK20" i="28"/>
  <c r="BG20" i="28"/>
  <c r="BB20" i="28"/>
  <c r="BF20" i="28" s="1"/>
  <c r="AW20" i="28"/>
  <c r="AR20" i="28"/>
  <c r="AM20" i="28"/>
  <c r="AH20" i="28"/>
  <c r="AC20" i="28"/>
  <c r="X20" i="28"/>
  <c r="S20" i="28"/>
  <c r="N20" i="28"/>
  <c r="I20" i="28"/>
  <c r="G20" i="28"/>
  <c r="AB20" i="28" s="1"/>
  <c r="CE18" i="28"/>
  <c r="CA18" i="28"/>
  <c r="BZ18" i="28"/>
  <c r="BV18" i="28"/>
  <c r="BU18" i="28"/>
  <c r="BQ18" i="28"/>
  <c r="BL18" i="28"/>
  <c r="BG18" i="28"/>
  <c r="BB18" i="28"/>
  <c r="BA18" i="28"/>
  <c r="AW18" i="28"/>
  <c r="AR18" i="28"/>
  <c r="AM18" i="28"/>
  <c r="AH18" i="28"/>
  <c r="AC18" i="28"/>
  <c r="X18" i="28"/>
  <c r="S18" i="28"/>
  <c r="N18" i="28"/>
  <c r="I18" i="28"/>
  <c r="G18" i="28"/>
  <c r="BK18" i="28" s="1"/>
  <c r="CE17" i="28"/>
  <c r="CA17" i="28"/>
  <c r="BZ17" i="28"/>
  <c r="BV17" i="28"/>
  <c r="BU17" i="28"/>
  <c r="BQ17" i="28"/>
  <c r="BL17" i="28"/>
  <c r="BP17" i="28" s="1"/>
  <c r="BG17" i="28"/>
  <c r="BB17" i="28"/>
  <c r="AW17" i="28"/>
  <c r="AR17" i="28"/>
  <c r="AM17" i="28"/>
  <c r="AH17" i="28"/>
  <c r="AC17" i="28"/>
  <c r="X17" i="28"/>
  <c r="S17" i="28"/>
  <c r="N17" i="28"/>
  <c r="I17" i="28"/>
  <c r="G17" i="28"/>
  <c r="CE16" i="28"/>
  <c r="CA16" i="28"/>
  <c r="BZ16" i="28"/>
  <c r="BV16" i="28"/>
  <c r="BU16" i="28"/>
  <c r="BQ16" i="28"/>
  <c r="BL16" i="28"/>
  <c r="BK16" i="28"/>
  <c r="BG16" i="28"/>
  <c r="BB16" i="28"/>
  <c r="AW16" i="28"/>
  <c r="BA16" i="28" s="1"/>
  <c r="AR16" i="28"/>
  <c r="AV16" i="28" s="1"/>
  <c r="AQ16" i="28"/>
  <c r="AM16" i="28"/>
  <c r="AH16" i="28"/>
  <c r="AC16" i="28"/>
  <c r="X16" i="28"/>
  <c r="S16" i="28"/>
  <c r="N16" i="28"/>
  <c r="I16" i="28"/>
  <c r="G16" i="28"/>
  <c r="AG16" i="28" s="1"/>
  <c r="CE15" i="28"/>
  <c r="CA15" i="28"/>
  <c r="BZ15" i="28"/>
  <c r="BV15" i="28"/>
  <c r="BU15" i="28"/>
  <c r="BQ15" i="28"/>
  <c r="BL15" i="28"/>
  <c r="BP15" i="28" s="1"/>
  <c r="BG15" i="28"/>
  <c r="BK15" i="28" s="1"/>
  <c r="BF15" i="28"/>
  <c r="BB15" i="28"/>
  <c r="AW15" i="28"/>
  <c r="BA15" i="28" s="1"/>
  <c r="AR15" i="28"/>
  <c r="AM15" i="28"/>
  <c r="AQ15" i="28" s="1"/>
  <c r="AH15" i="28"/>
  <c r="AC15" i="28"/>
  <c r="X15" i="28"/>
  <c r="S15" i="28"/>
  <c r="N15" i="28"/>
  <c r="R15" i="28" s="1"/>
  <c r="I15" i="28"/>
  <c r="G15" i="28"/>
  <c r="CE14" i="28"/>
  <c r="CA14" i="28"/>
  <c r="BZ14" i="28"/>
  <c r="BV14" i="28"/>
  <c r="BU14" i="28"/>
  <c r="BQ14" i="28"/>
  <c r="BL14" i="28"/>
  <c r="BG14" i="28"/>
  <c r="BK14" i="28" s="1"/>
  <c r="BB14" i="28"/>
  <c r="AW14" i="28"/>
  <c r="BA14" i="28" s="1"/>
  <c r="AR14" i="28"/>
  <c r="AM14" i="28"/>
  <c r="AQ14" i="28" s="1"/>
  <c r="AH14" i="28"/>
  <c r="AC14" i="28"/>
  <c r="X14" i="28"/>
  <c r="S14" i="28"/>
  <c r="N14" i="28"/>
  <c r="R14" i="28" s="1"/>
  <c r="I14" i="28"/>
  <c r="G14" i="28"/>
  <c r="M14" i="28" s="1"/>
  <c r="CE13" i="28"/>
  <c r="CA13" i="28"/>
  <c r="BZ13" i="28"/>
  <c r="BV13" i="28"/>
  <c r="BU13" i="28"/>
  <c r="BQ13" i="28"/>
  <c r="BL13" i="28"/>
  <c r="BP13" i="28" s="1"/>
  <c r="BG13" i="28"/>
  <c r="BK13" i="28" s="1"/>
  <c r="BB13" i="28"/>
  <c r="BF13" i="28" s="1"/>
  <c r="AW13" i="28"/>
  <c r="AR13" i="28"/>
  <c r="AM13" i="28"/>
  <c r="AQ13" i="28" s="1"/>
  <c r="AL13" i="28"/>
  <c r="AH13" i="28"/>
  <c r="AC13" i="28"/>
  <c r="X13" i="28"/>
  <c r="S13" i="28"/>
  <c r="N13" i="28"/>
  <c r="R13" i="28" s="1"/>
  <c r="I13" i="28"/>
  <c r="G13" i="28"/>
  <c r="CE12" i="28"/>
  <c r="CA12" i="28"/>
  <c r="BZ12" i="28"/>
  <c r="BV12" i="28"/>
  <c r="BU12" i="28"/>
  <c r="BQ12" i="28"/>
  <c r="BL12" i="28"/>
  <c r="BP12" i="28" s="1"/>
  <c r="BG12" i="28"/>
  <c r="BB12" i="28"/>
  <c r="BF12" i="28" s="1"/>
  <c r="BA12" i="28"/>
  <c r="AW12" i="28"/>
  <c r="AR12" i="28"/>
  <c r="AM12" i="28"/>
  <c r="AH12" i="28"/>
  <c r="AC12" i="28"/>
  <c r="AB12" i="28"/>
  <c r="X12" i="28"/>
  <c r="S12" i="28"/>
  <c r="N12" i="28"/>
  <c r="R12" i="28" s="1"/>
  <c r="I12" i="28"/>
  <c r="G12" i="28"/>
  <c r="CE11" i="28"/>
  <c r="CA11" i="28"/>
  <c r="BZ11" i="28"/>
  <c r="BV11" i="28"/>
  <c r="BU11" i="28"/>
  <c r="BQ11" i="28"/>
  <c r="BL11" i="28"/>
  <c r="BP11" i="28" s="1"/>
  <c r="BG11" i="28"/>
  <c r="BB11" i="28"/>
  <c r="AW11" i="28"/>
  <c r="AR11" i="28"/>
  <c r="AM11" i="28"/>
  <c r="AH11" i="28"/>
  <c r="AC11" i="28"/>
  <c r="X11" i="28"/>
  <c r="S11" i="28"/>
  <c r="N11" i="28"/>
  <c r="I11" i="28"/>
  <c r="G11" i="28"/>
  <c r="AL11" i="28" s="1"/>
  <c r="CE10" i="28"/>
  <c r="CA10" i="28"/>
  <c r="BZ10" i="28"/>
  <c r="BV10" i="28"/>
  <c r="BU10" i="28"/>
  <c r="BQ10" i="28"/>
  <c r="BL10" i="28"/>
  <c r="BP10" i="28" s="1"/>
  <c r="BG10" i="28"/>
  <c r="BK10" i="28" s="1"/>
  <c r="BF10" i="28"/>
  <c r="BB10" i="28"/>
  <c r="AW10" i="28"/>
  <c r="BA10" i="28" s="1"/>
  <c r="AR10" i="28"/>
  <c r="AM10" i="28"/>
  <c r="AQ10" i="28" s="1"/>
  <c r="AH10" i="28"/>
  <c r="AC10" i="28"/>
  <c r="X10" i="28"/>
  <c r="AB10" i="28" s="1"/>
  <c r="S10" i="28"/>
  <c r="N10" i="28"/>
  <c r="I10" i="28"/>
  <c r="G10" i="28"/>
  <c r="CE9" i="28"/>
  <c r="CA9" i="28"/>
  <c r="BZ9" i="28"/>
  <c r="BV9" i="28"/>
  <c r="BU9" i="28"/>
  <c r="BQ9" i="28"/>
  <c r="BL9" i="28"/>
  <c r="BP9" i="28" s="1"/>
  <c r="BG9" i="28"/>
  <c r="BB9" i="28"/>
  <c r="AW9" i="28"/>
  <c r="AR9" i="28"/>
  <c r="AM9" i="28"/>
  <c r="AH9" i="28"/>
  <c r="AC9" i="28"/>
  <c r="X9" i="28"/>
  <c r="S9" i="28"/>
  <c r="N9" i="28"/>
  <c r="I9" i="28"/>
  <c r="G9" i="28"/>
  <c r="CE8" i="28"/>
  <c r="CA8" i="28"/>
  <c r="BZ8" i="28"/>
  <c r="BV8" i="28"/>
  <c r="BU8" i="28"/>
  <c r="BQ8" i="28"/>
  <c r="BP8" i="28"/>
  <c r="BL8" i="28"/>
  <c r="BG8" i="28"/>
  <c r="BB8" i="28"/>
  <c r="AW8" i="28"/>
  <c r="AR8" i="28"/>
  <c r="AM8" i="28"/>
  <c r="AH8" i="28"/>
  <c r="AC8" i="28"/>
  <c r="X8" i="28"/>
  <c r="S8" i="28"/>
  <c r="R8" i="28"/>
  <c r="N8" i="28"/>
  <c r="I8" i="28"/>
  <c r="G8" i="28"/>
  <c r="AQ8" i="28" s="1"/>
  <c r="CE7" i="28"/>
  <c r="CA7" i="28"/>
  <c r="BZ7" i="28"/>
  <c r="BV7" i="28"/>
  <c r="BU7" i="28"/>
  <c r="BQ7" i="28"/>
  <c r="BL7" i="28"/>
  <c r="BG7" i="28"/>
  <c r="BK7" i="28" s="1"/>
  <c r="BB7" i="28"/>
  <c r="AW7" i="28"/>
  <c r="BA7" i="28" s="1"/>
  <c r="AR7" i="28"/>
  <c r="AM7" i="28"/>
  <c r="AQ7" i="28" s="1"/>
  <c r="AH7" i="28"/>
  <c r="AL7" i="28" s="1"/>
  <c r="AC7" i="28"/>
  <c r="AB7" i="28"/>
  <c r="X7" i="28"/>
  <c r="S7" i="28"/>
  <c r="N7" i="28"/>
  <c r="I7" i="28"/>
  <c r="G7" i="28"/>
  <c r="CE6" i="28"/>
  <c r="CA6" i="28"/>
  <c r="BZ6" i="28"/>
  <c r="BV6" i="28"/>
  <c r="BU6" i="28"/>
  <c r="BQ6" i="28"/>
  <c r="BL6" i="28"/>
  <c r="BG6" i="28"/>
  <c r="BK6" i="28" s="1"/>
  <c r="BB6" i="28"/>
  <c r="AW6" i="28"/>
  <c r="AR6" i="28"/>
  <c r="AM6" i="28"/>
  <c r="AQ6" i="28" s="1"/>
  <c r="AH6" i="28"/>
  <c r="AC6" i="28"/>
  <c r="X6" i="28"/>
  <c r="S6" i="28"/>
  <c r="N6" i="28"/>
  <c r="R6" i="28" s="1"/>
  <c r="I6" i="28"/>
  <c r="G6" i="28"/>
  <c r="BP6" i="28" s="1"/>
  <c r="CE5" i="28"/>
  <c r="CA5" i="28"/>
  <c r="BZ5" i="28"/>
  <c r="BV5" i="28"/>
  <c r="BU5" i="28"/>
  <c r="BQ5" i="28"/>
  <c r="BL5" i="28"/>
  <c r="BG5" i="28"/>
  <c r="BB5" i="28"/>
  <c r="BF5" i="28" s="1"/>
  <c r="AW5" i="28"/>
  <c r="BA5" i="28" s="1"/>
  <c r="AR5" i="28"/>
  <c r="AM5" i="28"/>
  <c r="AQ5" i="28" s="1"/>
  <c r="AL5" i="28"/>
  <c r="AH5" i="28"/>
  <c r="AC5" i="28"/>
  <c r="X5" i="28"/>
  <c r="S5" i="28"/>
  <c r="N5" i="28"/>
  <c r="I5" i="28"/>
  <c r="G5" i="28"/>
  <c r="AB5" i="28" s="1"/>
  <c r="CE4" i="28"/>
  <c r="CA4" i="28"/>
  <c r="BZ4" i="28"/>
  <c r="BV4" i="28"/>
  <c r="BU4" i="28"/>
  <c r="BQ4" i="28"/>
  <c r="BL4" i="28"/>
  <c r="BG4" i="28"/>
  <c r="BK4" i="28" s="1"/>
  <c r="BB4" i="28"/>
  <c r="AW4" i="28"/>
  <c r="AR4" i="28"/>
  <c r="AQ4" i="28"/>
  <c r="AM4" i="28"/>
  <c r="AL4" i="28"/>
  <c r="AH4" i="28"/>
  <c r="AC4" i="28"/>
  <c r="X4" i="28"/>
  <c r="S4" i="28"/>
  <c r="N4" i="28"/>
  <c r="I4" i="28"/>
  <c r="G4" i="28"/>
  <c r="CE3" i="28"/>
  <c r="CA3" i="28"/>
  <c r="BZ3" i="28"/>
  <c r="BV3" i="28"/>
  <c r="BU3" i="28"/>
  <c r="BQ3" i="28"/>
  <c r="BL3" i="28"/>
  <c r="BG3" i="28"/>
  <c r="BF3" i="28"/>
  <c r="BB3" i="28"/>
  <c r="AW3" i="28"/>
  <c r="AR3" i="28"/>
  <c r="AM3" i="28"/>
  <c r="AQ3" i="28" s="1"/>
  <c r="AH3" i="28"/>
  <c r="AC3" i="28"/>
  <c r="X3" i="28"/>
  <c r="S3" i="28"/>
  <c r="N3" i="28"/>
  <c r="I3" i="28"/>
  <c r="G3" i="28"/>
  <c r="AL3" i="28" s="1"/>
  <c r="BB4" i="1"/>
  <c r="BG4" i="1"/>
  <c r="BL4" i="1"/>
  <c r="BQ4" i="1"/>
  <c r="BU4" i="1"/>
  <c r="BV4" i="1"/>
  <c r="BZ4" i="1"/>
  <c r="CA4" i="1"/>
  <c r="CE4" i="1"/>
  <c r="BB5" i="1"/>
  <c r="BG5" i="1"/>
  <c r="BL5" i="1"/>
  <c r="BQ5" i="1"/>
  <c r="BU5" i="1"/>
  <c r="BV5" i="1"/>
  <c r="BZ5" i="1"/>
  <c r="CA5" i="1"/>
  <c r="CE5" i="1"/>
  <c r="BB6" i="1"/>
  <c r="BG6" i="1"/>
  <c r="BL6" i="1"/>
  <c r="BQ6" i="1"/>
  <c r="BU6" i="1"/>
  <c r="BV6" i="1"/>
  <c r="BZ6" i="1"/>
  <c r="CA6" i="1"/>
  <c r="CE6" i="1"/>
  <c r="BB7" i="1"/>
  <c r="BG7" i="1"/>
  <c r="BL7" i="1"/>
  <c r="BQ7" i="1"/>
  <c r="BU7" i="1"/>
  <c r="BV7" i="1"/>
  <c r="BZ7" i="1"/>
  <c r="CA7" i="1"/>
  <c r="CE7" i="1"/>
  <c r="BB8" i="1"/>
  <c r="BG8" i="1"/>
  <c r="BL8" i="1"/>
  <c r="BQ8" i="1"/>
  <c r="BU8" i="1"/>
  <c r="BV8" i="1"/>
  <c r="BZ8" i="1"/>
  <c r="CA8" i="1"/>
  <c r="CE8" i="1"/>
  <c r="BB9" i="1"/>
  <c r="BG9" i="1"/>
  <c r="BL9" i="1"/>
  <c r="BQ9" i="1"/>
  <c r="BU9" i="1"/>
  <c r="BV9" i="1"/>
  <c r="BZ9" i="1"/>
  <c r="CA9" i="1"/>
  <c r="CE9" i="1"/>
  <c r="BB10" i="1"/>
  <c r="BG10" i="1"/>
  <c r="BL10" i="1"/>
  <c r="BQ10" i="1"/>
  <c r="BU10" i="1"/>
  <c r="BV10" i="1"/>
  <c r="BZ10" i="1"/>
  <c r="CA10" i="1"/>
  <c r="CE10" i="1"/>
  <c r="BB11" i="1"/>
  <c r="BG11" i="1"/>
  <c r="BL11" i="1"/>
  <c r="BQ11" i="1"/>
  <c r="BU11" i="1"/>
  <c r="BV11" i="1"/>
  <c r="BZ11" i="1"/>
  <c r="CA11" i="1"/>
  <c r="CE11" i="1"/>
  <c r="BB12" i="1"/>
  <c r="BG12" i="1"/>
  <c r="BL12" i="1"/>
  <c r="BQ12" i="1"/>
  <c r="BU12" i="1"/>
  <c r="BV12" i="1"/>
  <c r="BZ12" i="1"/>
  <c r="CA12" i="1"/>
  <c r="CE12" i="1"/>
  <c r="BB13" i="1"/>
  <c r="BG13" i="1"/>
  <c r="BL13" i="1"/>
  <c r="BQ13" i="1"/>
  <c r="BU13" i="1"/>
  <c r="BV13" i="1"/>
  <c r="BZ13" i="1"/>
  <c r="CA13" i="1"/>
  <c r="CE13" i="1"/>
  <c r="BB14" i="1"/>
  <c r="BG14" i="1"/>
  <c r="BL14" i="1"/>
  <c r="BQ14" i="1"/>
  <c r="BU14" i="1"/>
  <c r="BV14" i="1"/>
  <c r="BZ14" i="1"/>
  <c r="CA14" i="1"/>
  <c r="CE14" i="1"/>
  <c r="BB15" i="1"/>
  <c r="BG15" i="1"/>
  <c r="BL15" i="1"/>
  <c r="BQ15" i="1"/>
  <c r="BU15" i="1"/>
  <c r="BV15" i="1"/>
  <c r="BZ15" i="1"/>
  <c r="CA15" i="1"/>
  <c r="CE15" i="1"/>
  <c r="BB29" i="1"/>
  <c r="BG29" i="1"/>
  <c r="BL29" i="1"/>
  <c r="BQ29" i="1"/>
  <c r="BU29" i="1"/>
  <c r="BV29" i="1"/>
  <c r="BZ29" i="1"/>
  <c r="CA29" i="1"/>
  <c r="CE29" i="1"/>
  <c r="BB30" i="1"/>
  <c r="BG30" i="1"/>
  <c r="BL30" i="1"/>
  <c r="BQ30" i="1"/>
  <c r="BU30" i="1"/>
  <c r="BV30" i="1"/>
  <c r="BZ30" i="1"/>
  <c r="CA30" i="1"/>
  <c r="CE30" i="1"/>
  <c r="BB31" i="1"/>
  <c r="BG31" i="1"/>
  <c r="BL31" i="1"/>
  <c r="BQ31" i="1"/>
  <c r="BU31" i="1"/>
  <c r="BV31" i="1"/>
  <c r="BZ31" i="1"/>
  <c r="CA31" i="1"/>
  <c r="CE31" i="1"/>
  <c r="BB32" i="1"/>
  <c r="BG32" i="1"/>
  <c r="BL32" i="1"/>
  <c r="BQ32" i="1"/>
  <c r="BU32" i="1"/>
  <c r="BV32" i="1"/>
  <c r="BZ32" i="1"/>
  <c r="CA32" i="1"/>
  <c r="CE32" i="1"/>
  <c r="BB33" i="1"/>
  <c r="BG33" i="1"/>
  <c r="BL33" i="1"/>
  <c r="BQ33" i="1"/>
  <c r="BU33" i="1"/>
  <c r="BV33" i="1"/>
  <c r="BZ33" i="1"/>
  <c r="CA33" i="1"/>
  <c r="CE33" i="1"/>
  <c r="BB34" i="1"/>
  <c r="BF34" i="1"/>
  <c r="BG34" i="1"/>
  <c r="BL34" i="1"/>
  <c r="BQ34" i="1"/>
  <c r="BU34" i="1"/>
  <c r="BV34" i="1"/>
  <c r="BZ34" i="1"/>
  <c r="CA34" i="1"/>
  <c r="CE34" i="1"/>
  <c r="BB35" i="1"/>
  <c r="BG35" i="1"/>
  <c r="BL35" i="1"/>
  <c r="BQ35" i="1"/>
  <c r="BU35" i="1"/>
  <c r="BV35" i="1"/>
  <c r="BZ35" i="1"/>
  <c r="CA35" i="1"/>
  <c r="CE35" i="1"/>
  <c r="BB36" i="1"/>
  <c r="BF36" i="1"/>
  <c r="BG36" i="1"/>
  <c r="BK36" i="1"/>
  <c r="BL36" i="1"/>
  <c r="BQ36" i="1"/>
  <c r="BU36" i="1"/>
  <c r="BV36" i="1"/>
  <c r="BZ36" i="1"/>
  <c r="CA36" i="1"/>
  <c r="CE36" i="1"/>
  <c r="BB37" i="1"/>
  <c r="BG37" i="1"/>
  <c r="BL37" i="1"/>
  <c r="BQ37" i="1"/>
  <c r="BU37" i="1"/>
  <c r="BV37" i="1"/>
  <c r="BZ37" i="1"/>
  <c r="CA37" i="1"/>
  <c r="CE37" i="1"/>
  <c r="BB38" i="1"/>
  <c r="BG38" i="1"/>
  <c r="BL38" i="1"/>
  <c r="BQ38" i="1"/>
  <c r="BU38" i="1"/>
  <c r="BV38" i="1"/>
  <c r="BZ38" i="1"/>
  <c r="CA38" i="1"/>
  <c r="CE38" i="1"/>
  <c r="BB39" i="1"/>
  <c r="BG39" i="1"/>
  <c r="BL39" i="1"/>
  <c r="BQ39" i="1"/>
  <c r="BU39" i="1"/>
  <c r="BV39" i="1"/>
  <c r="BZ39" i="1"/>
  <c r="CA39" i="1"/>
  <c r="CE39" i="1"/>
  <c r="BB40" i="1"/>
  <c r="BG40" i="1"/>
  <c r="BL40" i="1"/>
  <c r="BQ40" i="1"/>
  <c r="BU40" i="1"/>
  <c r="BV40" i="1"/>
  <c r="BZ40" i="1"/>
  <c r="CA40" i="1"/>
  <c r="CE40" i="1"/>
  <c r="BB41" i="1"/>
  <c r="BG41" i="1"/>
  <c r="BK41" i="1"/>
  <c r="BL41" i="1"/>
  <c r="BQ41" i="1"/>
  <c r="BU41" i="1"/>
  <c r="BV41" i="1"/>
  <c r="BZ41" i="1"/>
  <c r="CA41" i="1"/>
  <c r="CE41" i="1"/>
  <c r="BB42" i="1"/>
  <c r="BG42" i="1"/>
  <c r="BL42" i="1"/>
  <c r="BQ42" i="1"/>
  <c r="BU42" i="1"/>
  <c r="BV42" i="1"/>
  <c r="BZ42" i="1"/>
  <c r="CA42" i="1"/>
  <c r="CE42" i="1"/>
  <c r="BB43" i="1"/>
  <c r="BG43" i="1"/>
  <c r="BL43" i="1"/>
  <c r="BQ43" i="1"/>
  <c r="BU43" i="1"/>
  <c r="BV43" i="1"/>
  <c r="BZ43" i="1"/>
  <c r="CA43" i="1"/>
  <c r="CE43" i="1"/>
  <c r="BB44" i="1"/>
  <c r="BF44" i="1"/>
  <c r="BG44" i="1"/>
  <c r="BL44" i="1"/>
  <c r="BQ44" i="1"/>
  <c r="BU44" i="1"/>
  <c r="BV44" i="1"/>
  <c r="BZ44" i="1"/>
  <c r="CA44" i="1"/>
  <c r="CE44" i="1"/>
  <c r="BB45" i="1"/>
  <c r="BF45" i="1"/>
  <c r="BG45" i="1"/>
  <c r="BL45" i="1"/>
  <c r="BQ45" i="1"/>
  <c r="BU45" i="1"/>
  <c r="BV45" i="1"/>
  <c r="BZ45" i="1"/>
  <c r="CA45" i="1"/>
  <c r="CE45" i="1"/>
  <c r="BB46" i="1"/>
  <c r="BG46" i="1"/>
  <c r="BL46" i="1"/>
  <c r="BQ46" i="1"/>
  <c r="BU46" i="1"/>
  <c r="BV46" i="1"/>
  <c r="BZ46" i="1"/>
  <c r="CA46" i="1"/>
  <c r="CE46" i="1"/>
  <c r="BB47" i="1"/>
  <c r="BG47" i="1"/>
  <c r="BL47" i="1"/>
  <c r="BQ47" i="1"/>
  <c r="BU47" i="1"/>
  <c r="BV47" i="1"/>
  <c r="BZ47" i="1"/>
  <c r="CA47" i="1"/>
  <c r="CE47" i="1"/>
  <c r="BB48" i="1"/>
  <c r="BG48" i="1"/>
  <c r="BL48" i="1"/>
  <c r="BQ48" i="1"/>
  <c r="BU48" i="1"/>
  <c r="BV48" i="1"/>
  <c r="BZ48" i="1"/>
  <c r="CA48" i="1"/>
  <c r="CE48" i="1"/>
  <c r="BB49" i="1"/>
  <c r="BG49" i="1"/>
  <c r="BL49" i="1"/>
  <c r="BQ49" i="1"/>
  <c r="BU49" i="1"/>
  <c r="BV49" i="1"/>
  <c r="BZ49" i="1"/>
  <c r="CA49" i="1"/>
  <c r="CE49" i="1"/>
  <c r="BB50" i="1"/>
  <c r="BG50" i="1"/>
  <c r="BL50" i="1"/>
  <c r="BQ50" i="1"/>
  <c r="BU50" i="1"/>
  <c r="BV50" i="1"/>
  <c r="BZ50" i="1"/>
  <c r="CA50" i="1"/>
  <c r="CE50" i="1"/>
  <c r="BB51" i="1"/>
  <c r="BG51" i="1"/>
  <c r="BL51" i="1"/>
  <c r="BQ51" i="1"/>
  <c r="BU51" i="1"/>
  <c r="BV51" i="1"/>
  <c r="BZ51" i="1"/>
  <c r="CA51" i="1"/>
  <c r="CE51" i="1"/>
  <c r="CE54" i="1"/>
  <c r="CE55" i="1"/>
  <c r="CE56" i="1"/>
  <c r="CE57" i="1"/>
  <c r="CE58" i="1"/>
  <c r="CE59" i="1"/>
  <c r="CE60" i="1"/>
  <c r="CE61" i="1"/>
  <c r="CE62" i="1"/>
  <c r="CE63" i="1"/>
  <c r="CE64" i="1"/>
  <c r="CE65" i="1"/>
  <c r="CE66" i="1"/>
  <c r="CE67" i="1"/>
  <c r="CE68" i="1"/>
  <c r="CE69" i="1"/>
  <c r="CE70" i="1"/>
  <c r="CE71" i="1"/>
  <c r="CE72" i="1"/>
  <c r="CE73" i="1"/>
  <c r="CA54" i="1"/>
  <c r="CA55" i="1"/>
  <c r="CA56" i="1"/>
  <c r="CA57" i="1"/>
  <c r="CA58" i="1"/>
  <c r="CA59" i="1"/>
  <c r="CA60" i="1"/>
  <c r="CA61" i="1"/>
  <c r="CA62" i="1"/>
  <c r="CA63" i="1"/>
  <c r="CA64" i="1"/>
  <c r="CA65" i="1"/>
  <c r="CA66" i="1"/>
  <c r="CA67" i="1"/>
  <c r="CA68" i="1"/>
  <c r="CA69" i="1"/>
  <c r="CA70" i="1"/>
  <c r="CA71" i="1"/>
  <c r="CA72" i="1"/>
  <c r="CA73" i="1"/>
  <c r="BV54" i="1"/>
  <c r="BV55" i="1"/>
  <c r="BV56" i="1"/>
  <c r="BV57" i="1"/>
  <c r="BV58" i="1"/>
  <c r="BV59" i="1"/>
  <c r="BV60" i="1"/>
  <c r="BV61" i="1"/>
  <c r="BV62" i="1"/>
  <c r="BV63" i="1"/>
  <c r="BV64" i="1"/>
  <c r="BV65" i="1"/>
  <c r="BV66" i="1"/>
  <c r="BV67" i="1"/>
  <c r="BV68" i="1"/>
  <c r="BV69" i="1"/>
  <c r="BV70" i="1"/>
  <c r="BV71" i="1"/>
  <c r="BV72" i="1"/>
  <c r="BU54" i="1"/>
  <c r="BU55" i="1"/>
  <c r="BU56" i="1"/>
  <c r="BU57" i="1"/>
  <c r="BU58" i="1"/>
  <c r="BU59" i="1"/>
  <c r="BU60" i="1"/>
  <c r="BU61" i="1"/>
  <c r="BU62" i="1"/>
  <c r="BU63" i="1"/>
  <c r="BU64" i="1"/>
  <c r="BU65" i="1"/>
  <c r="BU66" i="1"/>
  <c r="BU67" i="1"/>
  <c r="BU68" i="1"/>
  <c r="BU69" i="1"/>
  <c r="BU70" i="1"/>
  <c r="BU71" i="1"/>
  <c r="BU72" i="1"/>
  <c r="BU73" i="1"/>
  <c r="BP56" i="1"/>
  <c r="BK59" i="1"/>
  <c r="BK64" i="1"/>
  <c r="BK70" i="1"/>
  <c r="BK73" i="1"/>
  <c r="BK74" i="1"/>
  <c r="BQ53" i="1"/>
  <c r="BQ54" i="1"/>
  <c r="BQ55" i="1"/>
  <c r="BQ56" i="1"/>
  <c r="BQ57" i="1"/>
  <c r="BQ58" i="1"/>
  <c r="BQ59" i="1"/>
  <c r="BQ60" i="1"/>
  <c r="BQ61" i="1"/>
  <c r="BQ62" i="1"/>
  <c r="BQ63" i="1"/>
  <c r="BQ64" i="1"/>
  <c r="BQ65" i="1"/>
  <c r="BQ66" i="1"/>
  <c r="BQ67" i="1"/>
  <c r="BQ68" i="1"/>
  <c r="BQ69" i="1"/>
  <c r="BQ70" i="1"/>
  <c r="BQ71" i="1"/>
  <c r="BQ72" i="1"/>
  <c r="BL53" i="1"/>
  <c r="BL54" i="1"/>
  <c r="BL55" i="1"/>
  <c r="BL56" i="1"/>
  <c r="BL57" i="1"/>
  <c r="BL58" i="1"/>
  <c r="BL59" i="1"/>
  <c r="BL60" i="1"/>
  <c r="BL61" i="1"/>
  <c r="BL62" i="1"/>
  <c r="BL63" i="1"/>
  <c r="BL64" i="1"/>
  <c r="BL65" i="1"/>
  <c r="BL66" i="1"/>
  <c r="BL67" i="1"/>
  <c r="BL68" i="1"/>
  <c r="BL69" i="1"/>
  <c r="BL70" i="1"/>
  <c r="BL71" i="1"/>
  <c r="BL72" i="1"/>
  <c r="BG53" i="1"/>
  <c r="BG54" i="1"/>
  <c r="BG55" i="1"/>
  <c r="BG56" i="1"/>
  <c r="BG57" i="1"/>
  <c r="BG58" i="1"/>
  <c r="BG59" i="1"/>
  <c r="BG60" i="1"/>
  <c r="BG61" i="1"/>
  <c r="BG62" i="1"/>
  <c r="BG63" i="1"/>
  <c r="BG64" i="1"/>
  <c r="BG65" i="1"/>
  <c r="BG66" i="1"/>
  <c r="BG67" i="1"/>
  <c r="BG68" i="1"/>
  <c r="BG69" i="1"/>
  <c r="BG70" i="1"/>
  <c r="BG71" i="1"/>
  <c r="BG72" i="1"/>
  <c r="N71" i="1"/>
  <c r="S71" i="1"/>
  <c r="X71" i="1"/>
  <c r="AB71" i="1"/>
  <c r="AC71" i="1"/>
  <c r="AG71" i="1"/>
  <c r="AH71" i="1"/>
  <c r="AM71" i="1"/>
  <c r="AR71" i="1"/>
  <c r="AW71" i="1"/>
  <c r="BB71" i="1"/>
  <c r="BF71" i="1"/>
  <c r="M72" i="1"/>
  <c r="N72" i="1"/>
  <c r="S72" i="1"/>
  <c r="X72" i="1"/>
  <c r="AC72" i="1"/>
  <c r="AH72" i="1"/>
  <c r="AM72" i="1"/>
  <c r="AR72" i="1"/>
  <c r="AW72" i="1"/>
  <c r="BA72" i="1"/>
  <c r="BB72" i="1"/>
  <c r="I71" i="1"/>
  <c r="I72" i="1"/>
  <c r="G71" i="1"/>
  <c r="AL71" i="1" s="1"/>
  <c r="G72" i="1"/>
  <c r="AQ72" i="1" s="1"/>
  <c r="G73" i="1"/>
  <c r="S3" i="1"/>
  <c r="S4" i="1"/>
  <c r="S5" i="1"/>
  <c r="S6" i="1"/>
  <c r="S7" i="1"/>
  <c r="S8" i="1"/>
  <c r="S9" i="1"/>
  <c r="S10" i="1"/>
  <c r="S11" i="1"/>
  <c r="S12" i="1"/>
  <c r="S13" i="1"/>
  <c r="S14" i="1"/>
  <c r="S15" i="1"/>
  <c r="S34" i="1"/>
  <c r="N4" i="1"/>
  <c r="N5" i="1"/>
  <c r="N6" i="1"/>
  <c r="N7" i="1"/>
  <c r="N8" i="1"/>
  <c r="N9" i="1"/>
  <c r="N10" i="1"/>
  <c r="N11" i="1"/>
  <c r="N12" i="1"/>
  <c r="N13" i="1"/>
  <c r="N14" i="1"/>
  <c r="N15" i="1"/>
  <c r="AC4" i="1"/>
  <c r="AC5" i="1"/>
  <c r="AC6" i="1"/>
  <c r="AC7" i="1"/>
  <c r="AC8" i="1"/>
  <c r="AC9" i="1"/>
  <c r="AC10" i="1"/>
  <c r="AC11" i="1"/>
  <c r="AC12" i="1"/>
  <c r="AC13" i="1"/>
  <c r="AC14" i="1"/>
  <c r="AC15" i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G4" i="1"/>
  <c r="M4" i="1" s="1"/>
  <c r="G5" i="1"/>
  <c r="G6" i="1"/>
  <c r="G7" i="1"/>
  <c r="G8" i="1"/>
  <c r="G9" i="1"/>
  <c r="M9" i="1" s="1"/>
  <c r="G10" i="1"/>
  <c r="G11" i="1"/>
  <c r="W11" i="1" s="1"/>
  <c r="G12" i="1"/>
  <c r="AB12" i="1" s="1"/>
  <c r="G13" i="1"/>
  <c r="G14" i="1"/>
  <c r="BP14" i="1" s="1"/>
  <c r="G15" i="1"/>
  <c r="AG15" i="1" s="1"/>
  <c r="X3" i="1"/>
  <c r="X4" i="1"/>
  <c r="X5" i="1"/>
  <c r="X6" i="1"/>
  <c r="X7" i="1"/>
  <c r="X8" i="1"/>
  <c r="X9" i="1"/>
  <c r="X10" i="1"/>
  <c r="X11" i="1"/>
  <c r="X12" i="1"/>
  <c r="X13" i="1"/>
  <c r="X14" i="1"/>
  <c r="X15" i="1"/>
  <c r="AR4" i="1"/>
  <c r="AR5" i="1"/>
  <c r="AR6" i="1"/>
  <c r="AR7" i="1"/>
  <c r="AR8" i="1"/>
  <c r="AR9" i="1"/>
  <c r="AR10" i="1"/>
  <c r="AR11" i="1"/>
  <c r="AR12" i="1"/>
  <c r="AR13" i="1"/>
  <c r="AR14" i="1"/>
  <c r="AR15" i="1"/>
  <c r="AM4" i="1"/>
  <c r="AM5" i="1"/>
  <c r="AM6" i="1"/>
  <c r="AM7" i="1"/>
  <c r="AM8" i="1"/>
  <c r="AM9" i="1"/>
  <c r="AM10" i="1"/>
  <c r="AM11" i="1"/>
  <c r="AM12" i="1"/>
  <c r="AM13" i="1"/>
  <c r="AM14" i="1"/>
  <c r="AM15" i="1"/>
  <c r="AM16" i="1"/>
  <c r="AH4" i="1"/>
  <c r="AH5" i="1"/>
  <c r="AH6" i="1"/>
  <c r="AH7" i="1"/>
  <c r="AH8" i="1"/>
  <c r="AL8" i="1" s="1"/>
  <c r="AH9" i="1"/>
  <c r="AH10" i="1"/>
  <c r="AH11" i="1"/>
  <c r="AH12" i="1"/>
  <c r="AH13" i="1"/>
  <c r="AH14" i="1"/>
  <c r="AH15" i="1"/>
  <c r="AH16" i="1"/>
  <c r="AW4" i="1"/>
  <c r="AW5" i="1"/>
  <c r="AW6" i="1"/>
  <c r="AW7" i="1"/>
  <c r="AW8" i="1"/>
  <c r="AW9" i="1"/>
  <c r="AW10" i="1"/>
  <c r="AW11" i="1"/>
  <c r="AW12" i="1"/>
  <c r="AW13" i="1"/>
  <c r="AW14" i="1"/>
  <c r="AW15" i="1"/>
  <c r="AW16" i="1"/>
  <c r="G54" i="1"/>
  <c r="W54" i="1" s="1"/>
  <c r="I54" i="1"/>
  <c r="N54" i="1"/>
  <c r="R54" i="1"/>
  <c r="S54" i="1"/>
  <c r="X54" i="1"/>
  <c r="AC54" i="1"/>
  <c r="AH54" i="1"/>
  <c r="AM54" i="1"/>
  <c r="AR54" i="1"/>
  <c r="AW54" i="1"/>
  <c r="BB54" i="1"/>
  <c r="G55" i="1"/>
  <c r="AV55" i="1" s="1"/>
  <c r="I55" i="1"/>
  <c r="M55" i="1"/>
  <c r="N55" i="1"/>
  <c r="S55" i="1"/>
  <c r="X55" i="1"/>
  <c r="AC55" i="1"/>
  <c r="AH55" i="1"/>
  <c r="AM55" i="1"/>
  <c r="AR55" i="1"/>
  <c r="AW55" i="1"/>
  <c r="BB55" i="1"/>
  <c r="G56" i="1"/>
  <c r="R56" i="1" s="1"/>
  <c r="I56" i="1"/>
  <c r="M56" i="1"/>
  <c r="N56" i="1"/>
  <c r="S56" i="1"/>
  <c r="X56" i="1"/>
  <c r="AC56" i="1"/>
  <c r="AH56" i="1"/>
  <c r="AM56" i="1"/>
  <c r="AR56" i="1"/>
  <c r="AW56" i="1"/>
  <c r="BB56" i="1"/>
  <c r="G57" i="1"/>
  <c r="AB57" i="1" s="1"/>
  <c r="I57" i="1"/>
  <c r="M57" i="1"/>
  <c r="N57" i="1"/>
  <c r="R57" i="1"/>
  <c r="S57" i="1"/>
  <c r="X57" i="1"/>
  <c r="AC57" i="1"/>
  <c r="AH57" i="1"/>
  <c r="AM57" i="1"/>
  <c r="AR57" i="1"/>
  <c r="AW57" i="1"/>
  <c r="BB57" i="1"/>
  <c r="G58" i="1"/>
  <c r="R58" i="1" s="1"/>
  <c r="I58" i="1"/>
  <c r="N58" i="1"/>
  <c r="S58" i="1"/>
  <c r="X58" i="1"/>
  <c r="AC58" i="1"/>
  <c r="AH58" i="1"/>
  <c r="AM58" i="1"/>
  <c r="AR58" i="1"/>
  <c r="AW58" i="1"/>
  <c r="BB58" i="1"/>
  <c r="G59" i="1"/>
  <c r="AB59" i="1" s="1"/>
  <c r="I59" i="1"/>
  <c r="M59" i="1"/>
  <c r="N59" i="1"/>
  <c r="R59" i="1"/>
  <c r="S59" i="1"/>
  <c r="X59" i="1"/>
  <c r="AC59" i="1"/>
  <c r="AH59" i="1"/>
  <c r="AM59" i="1"/>
  <c r="AR59" i="1"/>
  <c r="AW59" i="1"/>
  <c r="BB59" i="1"/>
  <c r="BF59" i="1"/>
  <c r="G60" i="1"/>
  <c r="M60" i="1" s="1"/>
  <c r="I60" i="1"/>
  <c r="N60" i="1"/>
  <c r="S60" i="1"/>
  <c r="X60" i="1"/>
  <c r="AC60" i="1"/>
  <c r="AH60" i="1"/>
  <c r="AM60" i="1"/>
  <c r="AR60" i="1"/>
  <c r="AW60" i="1"/>
  <c r="BB60" i="1"/>
  <c r="G61" i="1"/>
  <c r="W61" i="1" s="1"/>
  <c r="I61" i="1"/>
  <c r="M61" i="1"/>
  <c r="N61" i="1"/>
  <c r="S61" i="1"/>
  <c r="X61" i="1"/>
  <c r="AC61" i="1"/>
  <c r="AH61" i="1"/>
  <c r="AM61" i="1"/>
  <c r="AQ61" i="1"/>
  <c r="AR61" i="1"/>
  <c r="AW61" i="1"/>
  <c r="BB61" i="1"/>
  <c r="G62" i="1"/>
  <c r="BA62" i="1" s="1"/>
  <c r="I62" i="1"/>
  <c r="N62" i="1"/>
  <c r="S62" i="1"/>
  <c r="X62" i="1"/>
  <c r="AC62" i="1"/>
  <c r="AH62" i="1"/>
  <c r="AM62" i="1"/>
  <c r="AR62" i="1"/>
  <c r="AW62" i="1"/>
  <c r="BB62" i="1"/>
  <c r="G63" i="1"/>
  <c r="BF63" i="1" s="1"/>
  <c r="I63" i="1"/>
  <c r="M63" i="1"/>
  <c r="N63" i="1"/>
  <c r="S63" i="1"/>
  <c r="X63" i="1"/>
  <c r="AC63" i="1"/>
  <c r="AH63" i="1"/>
  <c r="AM63" i="1"/>
  <c r="AR63" i="1"/>
  <c r="AW63" i="1"/>
  <c r="BB63" i="1"/>
  <c r="G64" i="1"/>
  <c r="M64" i="1" s="1"/>
  <c r="I64" i="1"/>
  <c r="N64" i="1"/>
  <c r="S64" i="1"/>
  <c r="X64" i="1"/>
  <c r="AC64" i="1"/>
  <c r="AH64" i="1"/>
  <c r="AL64" i="1"/>
  <c r="AM64" i="1"/>
  <c r="AR64" i="1"/>
  <c r="AW64" i="1"/>
  <c r="BB64" i="1"/>
  <c r="G65" i="1"/>
  <c r="W65" i="1" s="1"/>
  <c r="I65" i="1"/>
  <c r="N65" i="1"/>
  <c r="S65" i="1"/>
  <c r="X65" i="1"/>
  <c r="AC65" i="1"/>
  <c r="AH65" i="1"/>
  <c r="AM65" i="1"/>
  <c r="AR65" i="1"/>
  <c r="AW65" i="1"/>
  <c r="BB65" i="1"/>
  <c r="G66" i="1"/>
  <c r="AB66" i="1" s="1"/>
  <c r="I66" i="1"/>
  <c r="N66" i="1"/>
  <c r="R66" i="1"/>
  <c r="S66" i="1"/>
  <c r="W66" i="1"/>
  <c r="X66" i="1"/>
  <c r="AC66" i="1"/>
  <c r="AH66" i="1"/>
  <c r="AM66" i="1"/>
  <c r="AR66" i="1"/>
  <c r="AW66" i="1"/>
  <c r="BA66" i="1"/>
  <c r="BB66" i="1"/>
  <c r="G67" i="1"/>
  <c r="AV67" i="1" s="1"/>
  <c r="I67" i="1"/>
  <c r="M67" i="1"/>
  <c r="N67" i="1"/>
  <c r="S67" i="1"/>
  <c r="X67" i="1"/>
  <c r="AC67" i="1"/>
  <c r="AH67" i="1"/>
  <c r="AM67" i="1"/>
  <c r="AR67" i="1"/>
  <c r="AW67" i="1"/>
  <c r="BB67" i="1"/>
  <c r="G68" i="1"/>
  <c r="BK68" i="1" s="1"/>
  <c r="I68" i="1"/>
  <c r="N68" i="1"/>
  <c r="R68" i="1"/>
  <c r="S68" i="1"/>
  <c r="X68" i="1"/>
  <c r="AC68" i="1"/>
  <c r="AH68" i="1"/>
  <c r="AM68" i="1"/>
  <c r="AR68" i="1"/>
  <c r="AW68" i="1"/>
  <c r="BB68" i="1"/>
  <c r="G69" i="1"/>
  <c r="BK69" i="1" s="1"/>
  <c r="I69" i="1"/>
  <c r="N69" i="1"/>
  <c r="S69" i="1"/>
  <c r="X69" i="1"/>
  <c r="AC69" i="1"/>
  <c r="AH69" i="1"/>
  <c r="AM69" i="1"/>
  <c r="AR69" i="1"/>
  <c r="AW69" i="1"/>
  <c r="BB69" i="1"/>
  <c r="G70" i="1"/>
  <c r="BA70" i="1" s="1"/>
  <c r="I70" i="1"/>
  <c r="N70" i="1"/>
  <c r="R70" i="1"/>
  <c r="S70" i="1"/>
  <c r="X70" i="1"/>
  <c r="AC70" i="1"/>
  <c r="AH70" i="1"/>
  <c r="AM70" i="1"/>
  <c r="AR70" i="1"/>
  <c r="AW70" i="1"/>
  <c r="BB70" i="1"/>
  <c r="G30" i="1"/>
  <c r="BP30" i="1" s="1"/>
  <c r="I30" i="1"/>
  <c r="N30" i="1"/>
  <c r="S30" i="1"/>
  <c r="X30" i="1"/>
  <c r="AC30" i="1"/>
  <c r="AH30" i="1"/>
  <c r="AM30" i="1"/>
  <c r="AQ30" i="1"/>
  <c r="AR30" i="1"/>
  <c r="AV30" i="1"/>
  <c r="AW30" i="1"/>
  <c r="G31" i="1"/>
  <c r="I31" i="1"/>
  <c r="N31" i="1"/>
  <c r="S31" i="1"/>
  <c r="X31" i="1"/>
  <c r="AC31" i="1"/>
  <c r="AH31" i="1"/>
  <c r="AM31" i="1"/>
  <c r="AR31" i="1"/>
  <c r="AW31" i="1"/>
  <c r="G32" i="1"/>
  <c r="W32" i="1" s="1"/>
  <c r="I32" i="1"/>
  <c r="N32" i="1"/>
  <c r="S32" i="1"/>
  <c r="X32" i="1"/>
  <c r="AC32" i="1"/>
  <c r="AH32" i="1"/>
  <c r="AM32" i="1"/>
  <c r="AR32" i="1"/>
  <c r="AW32" i="1"/>
  <c r="G33" i="1"/>
  <c r="I33" i="1"/>
  <c r="N33" i="1"/>
  <c r="S33" i="1"/>
  <c r="X33" i="1"/>
  <c r="AC33" i="1"/>
  <c r="AH33" i="1"/>
  <c r="AM33" i="1"/>
  <c r="AR33" i="1"/>
  <c r="AW33" i="1"/>
  <c r="G34" i="1"/>
  <c r="I34" i="1"/>
  <c r="N34" i="1"/>
  <c r="X34" i="1"/>
  <c r="AC34" i="1"/>
  <c r="AH34" i="1"/>
  <c r="AM34" i="1"/>
  <c r="AR34" i="1"/>
  <c r="AW34" i="1"/>
  <c r="G35" i="1"/>
  <c r="R35" i="1" s="1"/>
  <c r="I35" i="1"/>
  <c r="N35" i="1"/>
  <c r="S35" i="1"/>
  <c r="X35" i="1"/>
  <c r="AC35" i="1"/>
  <c r="AH35" i="1"/>
  <c r="AM35" i="1"/>
  <c r="AR35" i="1"/>
  <c r="AW35" i="1"/>
  <c r="G36" i="1"/>
  <c r="BA36" i="1" s="1"/>
  <c r="I36" i="1"/>
  <c r="M36" i="1" s="1"/>
  <c r="N36" i="1"/>
  <c r="R36" i="1"/>
  <c r="S36" i="1"/>
  <c r="X36" i="1"/>
  <c r="AC36" i="1"/>
  <c r="AH36" i="1"/>
  <c r="AM36" i="1"/>
  <c r="AR36" i="1"/>
  <c r="AW36" i="1"/>
  <c r="G37" i="1"/>
  <c r="BP37" i="1" s="1"/>
  <c r="I37" i="1"/>
  <c r="N37" i="1"/>
  <c r="S37" i="1"/>
  <c r="X37" i="1"/>
  <c r="AC37" i="1"/>
  <c r="AH37" i="1"/>
  <c r="AM37" i="1"/>
  <c r="AR37" i="1"/>
  <c r="AW37" i="1"/>
  <c r="G38" i="1"/>
  <c r="M38" i="1" s="1"/>
  <c r="I38" i="1"/>
  <c r="N38" i="1"/>
  <c r="S38" i="1"/>
  <c r="X38" i="1"/>
  <c r="AC38" i="1"/>
  <c r="AH38" i="1"/>
  <c r="AM38" i="1"/>
  <c r="AR38" i="1"/>
  <c r="AW38" i="1"/>
  <c r="G39" i="1"/>
  <c r="I39" i="1"/>
  <c r="N39" i="1"/>
  <c r="S39" i="1"/>
  <c r="X39" i="1"/>
  <c r="AC39" i="1"/>
  <c r="AH39" i="1"/>
  <c r="AM39" i="1"/>
  <c r="AR39" i="1"/>
  <c r="AW39" i="1"/>
  <c r="G40" i="1"/>
  <c r="BP40" i="1" s="1"/>
  <c r="I40" i="1"/>
  <c r="N40" i="1"/>
  <c r="S40" i="1"/>
  <c r="X40" i="1"/>
  <c r="AC40" i="1"/>
  <c r="AH40" i="1"/>
  <c r="AM40" i="1"/>
  <c r="AR40" i="1"/>
  <c r="AW40" i="1"/>
  <c r="G41" i="1"/>
  <c r="I41" i="1"/>
  <c r="N41" i="1"/>
  <c r="S41" i="1"/>
  <c r="X41" i="1"/>
  <c r="AC41" i="1"/>
  <c r="AH41" i="1"/>
  <c r="AL41" i="1"/>
  <c r="AM41" i="1"/>
  <c r="AR41" i="1"/>
  <c r="AW41" i="1"/>
  <c r="G42" i="1"/>
  <c r="BA42" i="1" s="1"/>
  <c r="I42" i="1"/>
  <c r="N42" i="1"/>
  <c r="R42" i="1"/>
  <c r="S42" i="1"/>
  <c r="X42" i="1"/>
  <c r="AC42" i="1"/>
  <c r="AH42" i="1"/>
  <c r="AM42" i="1"/>
  <c r="AR42" i="1"/>
  <c r="AW42" i="1"/>
  <c r="G43" i="1"/>
  <c r="I43" i="1"/>
  <c r="N43" i="1"/>
  <c r="S43" i="1"/>
  <c r="X43" i="1"/>
  <c r="AC43" i="1"/>
  <c r="AH43" i="1"/>
  <c r="AM43" i="1"/>
  <c r="AR43" i="1"/>
  <c r="AW43" i="1"/>
  <c r="G44" i="1"/>
  <c r="BK44" i="1" s="1"/>
  <c r="I44" i="1"/>
  <c r="M44" i="1"/>
  <c r="N44" i="1"/>
  <c r="S44" i="1"/>
  <c r="X44" i="1"/>
  <c r="AB44" i="1"/>
  <c r="AC44" i="1"/>
  <c r="AH44" i="1"/>
  <c r="AM44" i="1"/>
  <c r="AR44" i="1"/>
  <c r="AV44" i="1"/>
  <c r="AW44" i="1"/>
  <c r="BA44" i="1" s="1"/>
  <c r="G45" i="1"/>
  <c r="BP45" i="1" s="1"/>
  <c r="I45" i="1"/>
  <c r="M45" i="1"/>
  <c r="N45" i="1"/>
  <c r="R45" i="1"/>
  <c r="S45" i="1"/>
  <c r="W45" i="1"/>
  <c r="X45" i="1"/>
  <c r="AC45" i="1"/>
  <c r="AH45" i="1"/>
  <c r="AM45" i="1"/>
  <c r="AR45" i="1"/>
  <c r="AW45" i="1"/>
  <c r="G46" i="1"/>
  <c r="I46" i="1"/>
  <c r="N46" i="1"/>
  <c r="S46" i="1"/>
  <c r="X46" i="1"/>
  <c r="AC46" i="1"/>
  <c r="AH46" i="1"/>
  <c r="AM46" i="1"/>
  <c r="AR46" i="1"/>
  <c r="AW46" i="1"/>
  <c r="G47" i="1"/>
  <c r="I47" i="1"/>
  <c r="M47" i="1"/>
  <c r="N47" i="1"/>
  <c r="S47" i="1"/>
  <c r="X47" i="1"/>
  <c r="AC47" i="1"/>
  <c r="AH47" i="1"/>
  <c r="AM47" i="1"/>
  <c r="AR47" i="1"/>
  <c r="AW47" i="1"/>
  <c r="G48" i="1"/>
  <c r="W48" i="1" s="1"/>
  <c r="I48" i="1"/>
  <c r="N48" i="1"/>
  <c r="S48" i="1"/>
  <c r="X48" i="1"/>
  <c r="AC48" i="1"/>
  <c r="AH48" i="1"/>
  <c r="AM48" i="1"/>
  <c r="AR48" i="1"/>
  <c r="AW48" i="1"/>
  <c r="G49" i="1"/>
  <c r="BP49" i="1" s="1"/>
  <c r="I49" i="1"/>
  <c r="M49" i="1" s="1"/>
  <c r="N49" i="1"/>
  <c r="R49" i="1" s="1"/>
  <c r="S49" i="1"/>
  <c r="W49" i="1" s="1"/>
  <c r="X49" i="1"/>
  <c r="AC49" i="1"/>
  <c r="AH49" i="1"/>
  <c r="AM49" i="1"/>
  <c r="AR49" i="1"/>
  <c r="AW49" i="1"/>
  <c r="G50" i="1"/>
  <c r="I50" i="1"/>
  <c r="N50" i="1"/>
  <c r="S50" i="1"/>
  <c r="X50" i="1"/>
  <c r="AC50" i="1"/>
  <c r="AH50" i="1"/>
  <c r="AM50" i="1"/>
  <c r="AQ50" i="1"/>
  <c r="AR50" i="1"/>
  <c r="AV50" i="1"/>
  <c r="AW50" i="1"/>
  <c r="BA50" i="1"/>
  <c r="G51" i="1"/>
  <c r="AV51" i="1" s="1"/>
  <c r="I51" i="1"/>
  <c r="N51" i="1"/>
  <c r="S51" i="1"/>
  <c r="X51" i="1"/>
  <c r="AC51" i="1"/>
  <c r="AH51" i="1"/>
  <c r="AM51" i="1"/>
  <c r="AR51" i="1"/>
  <c r="AW51" i="1"/>
  <c r="BA12" i="1"/>
  <c r="AL13" i="1"/>
  <c r="R8" i="1"/>
  <c r="BZ26" i="1"/>
  <c r="G24" i="1"/>
  <c r="BZ23" i="1"/>
  <c r="CE19" i="1"/>
  <c r="G18" i="1"/>
  <c r="CE17" i="1"/>
  <c r="CE16" i="1"/>
  <c r="CE3" i="1"/>
  <c r="CE18" i="1"/>
  <c r="G75" i="1"/>
  <c r="M75" i="1" s="1"/>
  <c r="I75" i="1"/>
  <c r="N75" i="1"/>
  <c r="S75" i="1"/>
  <c r="X75" i="1"/>
  <c r="AC75" i="1"/>
  <c r="AH75" i="1"/>
  <c r="AM75" i="1"/>
  <c r="AR75" i="1"/>
  <c r="AW75" i="1"/>
  <c r="BB75" i="1"/>
  <c r="BG75" i="1"/>
  <c r="BL75" i="1"/>
  <c r="BQ75" i="1"/>
  <c r="BU75" i="1"/>
  <c r="BV75" i="1"/>
  <c r="BZ75" i="1"/>
  <c r="CA75" i="1"/>
  <c r="CE75" i="1"/>
  <c r="G53" i="1"/>
  <c r="BP53" i="1" s="1"/>
  <c r="G74" i="1"/>
  <c r="G76" i="1"/>
  <c r="CE76" i="1"/>
  <c r="CE74" i="1"/>
  <c r="CE53" i="1"/>
  <c r="CE28" i="1"/>
  <c r="CE25" i="1"/>
  <c r="CE24" i="1"/>
  <c r="CE22" i="1"/>
  <c r="CE21" i="1"/>
  <c r="CE20" i="1"/>
  <c r="BZ76" i="1"/>
  <c r="BZ74" i="1"/>
  <c r="BZ73" i="1"/>
  <c r="BZ53" i="1"/>
  <c r="BZ28" i="1"/>
  <c r="BZ25" i="1"/>
  <c r="BZ22" i="1"/>
  <c r="BZ21" i="1"/>
  <c r="BZ20" i="1"/>
  <c r="BZ19" i="1"/>
  <c r="BZ16" i="1"/>
  <c r="G29" i="1"/>
  <c r="G28" i="1"/>
  <c r="G26" i="1"/>
  <c r="G25" i="1"/>
  <c r="G23" i="1"/>
  <c r="G22" i="1"/>
  <c r="G21" i="1"/>
  <c r="G20" i="1"/>
  <c r="G19" i="1"/>
  <c r="G16" i="1"/>
  <c r="BQ3" i="1"/>
  <c r="X76" i="1"/>
  <c r="BK76" i="1"/>
  <c r="AH53" i="1"/>
  <c r="S53" i="1"/>
  <c r="S74" i="1"/>
  <c r="I76" i="1"/>
  <c r="N76" i="1"/>
  <c r="N74" i="1"/>
  <c r="N73" i="1"/>
  <c r="R73" i="1" s="1"/>
  <c r="N53" i="1"/>
  <c r="N29" i="1"/>
  <c r="N28" i="1"/>
  <c r="N26" i="1"/>
  <c r="N25" i="1"/>
  <c r="N24" i="1"/>
  <c r="N23" i="1"/>
  <c r="N22" i="1"/>
  <c r="N21" i="1"/>
  <c r="N20" i="1"/>
  <c r="N19" i="1"/>
  <c r="N18" i="1"/>
  <c r="N17" i="1"/>
  <c r="N16" i="1"/>
  <c r="N3" i="1"/>
  <c r="S76" i="1"/>
  <c r="S73" i="1"/>
  <c r="S29" i="1"/>
  <c r="S28" i="1"/>
  <c r="S26" i="1"/>
  <c r="S25" i="1"/>
  <c r="S24" i="1"/>
  <c r="S23" i="1"/>
  <c r="S22" i="1"/>
  <c r="S21" i="1"/>
  <c r="S20" i="1"/>
  <c r="S19" i="1"/>
  <c r="S18" i="1"/>
  <c r="S17" i="1"/>
  <c r="S16" i="1"/>
  <c r="X74" i="1"/>
  <c r="X73" i="1"/>
  <c r="AB73" i="1" s="1"/>
  <c r="X53" i="1"/>
  <c r="X29" i="1"/>
  <c r="X28" i="1"/>
  <c r="X26" i="1"/>
  <c r="X25" i="1"/>
  <c r="X24" i="1"/>
  <c r="X23" i="1"/>
  <c r="X22" i="1"/>
  <c r="X21" i="1"/>
  <c r="X20" i="1"/>
  <c r="X19" i="1"/>
  <c r="X18" i="1"/>
  <c r="X17" i="1"/>
  <c r="X16" i="1"/>
  <c r="AC76" i="1"/>
  <c r="AC74" i="1"/>
  <c r="AC73" i="1"/>
  <c r="AG73" i="1" s="1"/>
  <c r="AC53" i="1"/>
  <c r="AC29" i="1"/>
  <c r="AC28" i="1"/>
  <c r="AC26" i="1"/>
  <c r="AC25" i="1"/>
  <c r="AC24" i="1"/>
  <c r="AC23" i="1"/>
  <c r="AC22" i="1"/>
  <c r="AC21" i="1"/>
  <c r="AC20" i="1"/>
  <c r="AC19" i="1"/>
  <c r="AC18" i="1"/>
  <c r="AC17" i="1"/>
  <c r="AC16" i="1"/>
  <c r="AC3" i="1"/>
  <c r="AH76" i="1"/>
  <c r="AH74" i="1"/>
  <c r="AH73" i="1"/>
  <c r="AL73" i="1"/>
  <c r="AH29" i="1"/>
  <c r="AH28" i="1"/>
  <c r="AH26" i="1"/>
  <c r="AH25" i="1"/>
  <c r="AH24" i="1"/>
  <c r="AH23" i="1"/>
  <c r="AH22" i="1"/>
  <c r="AH21" i="1"/>
  <c r="AH20" i="1"/>
  <c r="AH19" i="1"/>
  <c r="AH18" i="1"/>
  <c r="AH17" i="1"/>
  <c r="AH3" i="1"/>
  <c r="AM76" i="1"/>
  <c r="AM74" i="1"/>
  <c r="AM73" i="1"/>
  <c r="AM53" i="1"/>
  <c r="AM29" i="1"/>
  <c r="AM28" i="1"/>
  <c r="AM26" i="1"/>
  <c r="AM25" i="1"/>
  <c r="AM24" i="1"/>
  <c r="AM23" i="1"/>
  <c r="AM22" i="1"/>
  <c r="AM21" i="1"/>
  <c r="AM20" i="1"/>
  <c r="AM19" i="1"/>
  <c r="AM18" i="1"/>
  <c r="AM17" i="1"/>
  <c r="AM3" i="1"/>
  <c r="AR76" i="1"/>
  <c r="AR74" i="1"/>
  <c r="AR73" i="1"/>
  <c r="AV73" i="1" s="1"/>
  <c r="AR53" i="1"/>
  <c r="AR29" i="1"/>
  <c r="AR28" i="1"/>
  <c r="AR26" i="1"/>
  <c r="AR25" i="1"/>
  <c r="AR24" i="1"/>
  <c r="AR23" i="1"/>
  <c r="AR22" i="1"/>
  <c r="AR21" i="1"/>
  <c r="AR20" i="1"/>
  <c r="AR19" i="1"/>
  <c r="AR18" i="1"/>
  <c r="AR17" i="1"/>
  <c r="AR16" i="1"/>
  <c r="AR3" i="1"/>
  <c r="AW76" i="1"/>
  <c r="AW74" i="1"/>
  <c r="AW73" i="1"/>
  <c r="BA73" i="1" s="1"/>
  <c r="AW53" i="1"/>
  <c r="AW29" i="1"/>
  <c r="AW28" i="1"/>
  <c r="AW26" i="1"/>
  <c r="AW25" i="1"/>
  <c r="AW24" i="1"/>
  <c r="AW23" i="1"/>
  <c r="AW22" i="1"/>
  <c r="AW21" i="1"/>
  <c r="AW20" i="1"/>
  <c r="AW19" i="1"/>
  <c r="AW18" i="1"/>
  <c r="AW17" i="1"/>
  <c r="AW3" i="1"/>
  <c r="BB76" i="1"/>
  <c r="BB74" i="1"/>
  <c r="BB73" i="1"/>
  <c r="BF73" i="1" s="1"/>
  <c r="BB53" i="1"/>
  <c r="BB28" i="1"/>
  <c r="BB26" i="1"/>
  <c r="BB25" i="1"/>
  <c r="BB24" i="1"/>
  <c r="BB23" i="1"/>
  <c r="BB22" i="1"/>
  <c r="BB21" i="1"/>
  <c r="BB20" i="1"/>
  <c r="BB19" i="1"/>
  <c r="BB18" i="1"/>
  <c r="BB17" i="1"/>
  <c r="BB16" i="1"/>
  <c r="BB3" i="1"/>
  <c r="BG76" i="1"/>
  <c r="BG74" i="1"/>
  <c r="BG73" i="1"/>
  <c r="BG28" i="1"/>
  <c r="BK28" i="1" s="1"/>
  <c r="BG26" i="1"/>
  <c r="BG25" i="1"/>
  <c r="BG24" i="1"/>
  <c r="BG23" i="1"/>
  <c r="BG22" i="1"/>
  <c r="BG21" i="1"/>
  <c r="BG20" i="1"/>
  <c r="BG19" i="1"/>
  <c r="BG18" i="1"/>
  <c r="BG17" i="1"/>
  <c r="BG3" i="1"/>
  <c r="BG16" i="1"/>
  <c r="BL76" i="1"/>
  <c r="BP76" i="1" s="1"/>
  <c r="BL74" i="1"/>
  <c r="BP74" i="1" s="1"/>
  <c r="BL73" i="1"/>
  <c r="BP73" i="1" s="1"/>
  <c r="BL28" i="1"/>
  <c r="BL26" i="1"/>
  <c r="BL25" i="1"/>
  <c r="BL24" i="1"/>
  <c r="BL23" i="1"/>
  <c r="BL22" i="1"/>
  <c r="BL21" i="1"/>
  <c r="BL20" i="1"/>
  <c r="BL19" i="1"/>
  <c r="BL18" i="1"/>
  <c r="BL17" i="1"/>
  <c r="BL16" i="1"/>
  <c r="BL3" i="1"/>
  <c r="BQ76" i="1"/>
  <c r="BQ74" i="1"/>
  <c r="BU74" i="1" s="1"/>
  <c r="BQ73" i="1"/>
  <c r="BU53" i="1"/>
  <c r="BQ28" i="1"/>
  <c r="BU28" i="1"/>
  <c r="BQ26" i="1"/>
  <c r="BQ25" i="1"/>
  <c r="BQ24" i="1"/>
  <c r="BU24" i="1" s="1"/>
  <c r="BQ23" i="1"/>
  <c r="BQ22" i="1"/>
  <c r="BQ21" i="1"/>
  <c r="BQ20" i="1"/>
  <c r="BQ19" i="1"/>
  <c r="BQ18" i="1"/>
  <c r="BQ17" i="1"/>
  <c r="BQ16" i="1"/>
  <c r="BV76" i="1"/>
  <c r="BV74" i="1"/>
  <c r="BV73" i="1"/>
  <c r="BV53" i="1"/>
  <c r="BV28" i="1"/>
  <c r="BV26" i="1"/>
  <c r="BV25" i="1"/>
  <c r="BV24" i="1"/>
  <c r="BV23" i="1"/>
  <c r="BV22" i="1"/>
  <c r="BV21" i="1"/>
  <c r="BV20" i="1"/>
  <c r="BV19" i="1"/>
  <c r="BV18" i="1"/>
  <c r="BV17" i="1"/>
  <c r="BV16" i="1"/>
  <c r="BV3" i="1"/>
  <c r="CA76" i="1"/>
  <c r="CA74" i="1"/>
  <c r="CA53" i="1"/>
  <c r="CA28" i="1"/>
  <c r="CA26" i="1"/>
  <c r="CA25" i="1"/>
  <c r="CA24" i="1"/>
  <c r="CA23" i="1"/>
  <c r="CA22" i="1"/>
  <c r="CA21" i="1"/>
  <c r="CA20" i="1"/>
  <c r="CA19" i="1"/>
  <c r="CA18" i="1"/>
  <c r="CA17" i="1"/>
  <c r="CA16" i="1"/>
  <c r="CA3" i="1"/>
  <c r="I16" i="1"/>
  <c r="I17" i="1"/>
  <c r="I18" i="1"/>
  <c r="I23" i="1"/>
  <c r="I19" i="1"/>
  <c r="I20" i="1"/>
  <c r="I21" i="1"/>
  <c r="I22" i="1"/>
  <c r="I24" i="1"/>
  <c r="I25" i="1"/>
  <c r="I26" i="1"/>
  <c r="I28" i="1"/>
  <c r="I29" i="1"/>
  <c r="I53" i="1"/>
  <c r="I73" i="1"/>
  <c r="M73" i="1" s="1"/>
  <c r="I74" i="1"/>
  <c r="AV22" i="28" l="1"/>
  <c r="AB4" i="28"/>
  <c r="AG12" i="28"/>
  <c r="M15" i="28"/>
  <c r="AV24" i="28"/>
  <c r="AV32" i="28"/>
  <c r="W30" i="28"/>
  <c r="AG23" i="28"/>
  <c r="AV20" i="28"/>
  <c r="AV13" i="28"/>
  <c r="M29" i="28"/>
  <c r="W29" i="28"/>
  <c r="AB29" i="28"/>
  <c r="AG29" i="28"/>
  <c r="AV29" i="28"/>
  <c r="M27" i="28"/>
  <c r="AL25" i="28"/>
  <c r="AV25" i="28"/>
  <c r="W27" i="28"/>
  <c r="AV23" i="28"/>
  <c r="W23" i="28"/>
  <c r="AV14" i="28"/>
  <c r="AG13" i="28"/>
  <c r="AG10" i="28"/>
  <c r="AV8" i="28"/>
  <c r="AG7" i="28"/>
  <c r="AV5" i="28"/>
  <c r="M26" i="28"/>
  <c r="AB25" i="28"/>
  <c r="M23" i="28"/>
  <c r="AL22" i="28"/>
  <c r="AV7" i="28"/>
  <c r="W13" i="28"/>
  <c r="AB13" i="28"/>
  <c r="W15" i="28"/>
  <c r="AB15" i="28"/>
  <c r="AG15" i="28"/>
  <c r="AL15" i="28"/>
  <c r="AV15" i="28"/>
  <c r="AB14" i="28"/>
  <c r="AG14" i="28"/>
  <c r="M13" i="28"/>
  <c r="W12" i="28"/>
  <c r="AL12" i="28"/>
  <c r="AV12" i="28"/>
  <c r="M11" i="28"/>
  <c r="AB11" i="28"/>
  <c r="AG11" i="28"/>
  <c r="M10" i="28"/>
  <c r="M7" i="28"/>
  <c r="AL8" i="28"/>
  <c r="M6" i="28"/>
  <c r="AG6" i="28"/>
  <c r="AV6" i="28"/>
  <c r="M5" i="28"/>
  <c r="W4" i="28"/>
  <c r="AG4" i="28"/>
  <c r="AG3" i="28"/>
  <c r="M3" i="28"/>
  <c r="AV39" i="28"/>
  <c r="BA39" i="28"/>
  <c r="R39" i="28"/>
  <c r="W39" i="28"/>
  <c r="AB39" i="28"/>
  <c r="AQ39" i="28"/>
  <c r="M9" i="28"/>
  <c r="R9" i="28"/>
  <c r="BA17" i="28"/>
  <c r="W9" i="28"/>
  <c r="BP14" i="28"/>
  <c r="AB3" i="28"/>
  <c r="M4" i="28"/>
  <c r="BA6" i="28"/>
  <c r="BF7" i="28"/>
  <c r="AB9" i="28"/>
  <c r="AQ11" i="28"/>
  <c r="BA13" i="28"/>
  <c r="R5" i="28"/>
  <c r="BK5" i="28"/>
  <c r="R7" i="28"/>
  <c r="AL9" i="28"/>
  <c r="BA11" i="28"/>
  <c r="M16" i="28"/>
  <c r="AL18" i="28"/>
  <c r="AG9" i="28"/>
  <c r="W5" i="28"/>
  <c r="BP5" i="28"/>
  <c r="W6" i="28"/>
  <c r="W7" i="28"/>
  <c r="BP7" i="28"/>
  <c r="AQ9" i="28"/>
  <c r="AL10" i="28"/>
  <c r="BF11" i="28"/>
  <c r="BF16" i="28"/>
  <c r="AG8" i="28"/>
  <c r="AV9" i="28"/>
  <c r="BK11" i="28"/>
  <c r="W17" i="28"/>
  <c r="BP4" i="28"/>
  <c r="BA9" i="28"/>
  <c r="W14" i="28"/>
  <c r="BF14" i="28"/>
  <c r="W16" i="28"/>
  <c r="AG5" i="28"/>
  <c r="BF9" i="28"/>
  <c r="R11" i="28"/>
  <c r="AB16" i="28"/>
  <c r="AL6" i="28"/>
  <c r="BK9" i="28"/>
  <c r="W11" i="28"/>
  <c r="AL17" i="28"/>
  <c r="M20" i="28"/>
  <c r="BK26" i="28"/>
  <c r="R20" i="28"/>
  <c r="W20" i="28"/>
  <c r="BP20" i="28"/>
  <c r="R25" i="28"/>
  <c r="R26" i="28"/>
  <c r="BK24" i="28"/>
  <c r="W26" i="28"/>
  <c r="BP24" i="28"/>
  <c r="AB26" i="28"/>
  <c r="AG20" i="28"/>
  <c r="BF22" i="28"/>
  <c r="M24" i="28"/>
  <c r="AG26" i="28"/>
  <c r="AL20" i="28"/>
  <c r="M22" i="28"/>
  <c r="R24" i="28"/>
  <c r="AL26" i="28"/>
  <c r="AQ20" i="28"/>
  <c r="W24" i="28"/>
  <c r="AQ26" i="28"/>
  <c r="AB24" i="28"/>
  <c r="AV26" i="28"/>
  <c r="AB21" i="28"/>
  <c r="AB22" i="28"/>
  <c r="AG24" i="28"/>
  <c r="BA26" i="28"/>
  <c r="BA20" i="28"/>
  <c r="AL24" i="28"/>
  <c r="CE41" i="28"/>
  <c r="BF17" i="28"/>
  <c r="BK17" i="28"/>
  <c r="R3" i="28"/>
  <c r="M8" i="28"/>
  <c r="R18" i="28"/>
  <c r="AV21" i="28"/>
  <c r="W3" i="28"/>
  <c r="BK25" i="28"/>
  <c r="AG25" i="28"/>
  <c r="BA25" i="28"/>
  <c r="W25" i="28"/>
  <c r="AQ25" i="28"/>
  <c r="BF27" i="28"/>
  <c r="AB27" i="28"/>
  <c r="AV27" i="28"/>
  <c r="R27" i="28"/>
  <c r="BK3" i="28"/>
  <c r="R4" i="28"/>
  <c r="AV4" i="28"/>
  <c r="AV10" i="28"/>
  <c r="R10" i="28"/>
  <c r="BK12" i="28"/>
  <c r="AL16" i="28"/>
  <c r="BP16" i="28"/>
  <c r="AB17" i="28"/>
  <c r="W18" i="28"/>
  <c r="R21" i="28"/>
  <c r="BA21" i="28"/>
  <c r="BA22" i="28"/>
  <c r="BP3" i="28"/>
  <c r="AG17" i="28"/>
  <c r="BF31" i="28"/>
  <c r="AB31" i="28"/>
  <c r="BA31" i="28"/>
  <c r="W31" i="28"/>
  <c r="AV31" i="28"/>
  <c r="R31" i="28"/>
  <c r="AQ31" i="28"/>
  <c r="M31" i="28"/>
  <c r="AV3" i="28"/>
  <c r="W21" i="28"/>
  <c r="R22" i="28"/>
  <c r="BK22" i="28"/>
  <c r="BF18" i="28"/>
  <c r="AB18" i="28"/>
  <c r="AQ18" i="28"/>
  <c r="BA8" i="28"/>
  <c r="W8" i="28"/>
  <c r="M17" i="28"/>
  <c r="BA3" i="28"/>
  <c r="R17" i="28"/>
  <c r="BA4" i="28"/>
  <c r="BF8" i="28"/>
  <c r="BU41" i="28"/>
  <c r="BU40" i="28"/>
  <c r="BF6" i="28"/>
  <c r="AB6" i="28"/>
  <c r="AB8" i="28"/>
  <c r="AV11" i="28"/>
  <c r="AG18" i="28"/>
  <c r="W22" i="28"/>
  <c r="BK31" i="28"/>
  <c r="BF4" i="28"/>
  <c r="AQ17" i="28"/>
  <c r="BK27" i="28"/>
  <c r="M18" i="28"/>
  <c r="AV18" i="28"/>
  <c r="AQ21" i="28"/>
  <c r="M21" i="28"/>
  <c r="BK21" i="28"/>
  <c r="AG21" i="28"/>
  <c r="BK8" i="28"/>
  <c r="AQ12" i="28"/>
  <c r="M12" i="28"/>
  <c r="BP18" i="28"/>
  <c r="BZ41" i="28"/>
  <c r="W10" i="28"/>
  <c r="R16" i="28"/>
  <c r="AV17" i="28"/>
  <c r="BP21" i="28"/>
  <c r="AG22" i="28"/>
  <c r="BP31" i="28"/>
  <c r="AL35" i="28"/>
  <c r="AL37" i="28"/>
  <c r="BP37" i="28"/>
  <c r="AB30" i="28"/>
  <c r="BF30" i="28"/>
  <c r="AB32" i="28"/>
  <c r="BF32" i="28"/>
  <c r="AB34" i="28"/>
  <c r="BF34" i="28"/>
  <c r="M35" i="28"/>
  <c r="AQ35" i="28"/>
  <c r="AL14" i="28"/>
  <c r="AB23" i="28"/>
  <c r="BF23" i="28"/>
  <c r="AG30" i="28"/>
  <c r="BK30" i="28"/>
  <c r="AG32" i="28"/>
  <c r="BK32" i="28"/>
  <c r="AG34" i="28"/>
  <c r="BK34" i="28"/>
  <c r="R35" i="28"/>
  <c r="AV35" i="28"/>
  <c r="R37" i="28"/>
  <c r="AV37" i="28"/>
  <c r="BZ40" i="28"/>
  <c r="AL30" i="28"/>
  <c r="BP30" i="28"/>
  <c r="AL32" i="28"/>
  <c r="AL34" i="28"/>
  <c r="BP34" i="28"/>
  <c r="W35" i="28"/>
  <c r="BA35" i="28"/>
  <c r="W37" i="28"/>
  <c r="BA37" i="28"/>
  <c r="CE40" i="28"/>
  <c r="AG39" i="28"/>
  <c r="BK39" i="28"/>
  <c r="AL23" i="28"/>
  <c r="M30" i="28"/>
  <c r="M32" i="28"/>
  <c r="M34" i="28"/>
  <c r="AB35" i="28"/>
  <c r="AB37" i="28"/>
  <c r="AL39" i="28"/>
  <c r="BP75" i="1"/>
  <c r="AL72" i="1"/>
  <c r="BK72" i="1"/>
  <c r="AG72" i="1"/>
  <c r="AB72" i="1"/>
  <c r="BP72" i="1"/>
  <c r="BF72" i="1"/>
  <c r="W72" i="1"/>
  <c r="AV72" i="1"/>
  <c r="R72" i="1"/>
  <c r="BK71" i="1"/>
  <c r="R71" i="1"/>
  <c r="BA71" i="1"/>
  <c r="W71" i="1"/>
  <c r="BP71" i="1"/>
  <c r="AV71" i="1"/>
  <c r="M71" i="1"/>
  <c r="AQ71" i="1"/>
  <c r="M70" i="1"/>
  <c r="AV70" i="1"/>
  <c r="M69" i="1"/>
  <c r="M68" i="1"/>
  <c r="AV68" i="1"/>
  <c r="AQ68" i="1"/>
  <c r="W68" i="1"/>
  <c r="BP66" i="1"/>
  <c r="AV66" i="1"/>
  <c r="M66" i="1"/>
  <c r="AL66" i="1"/>
  <c r="AQ66" i="1"/>
  <c r="M65" i="1"/>
  <c r="BA59" i="1"/>
  <c r="AV59" i="1"/>
  <c r="M42" i="1"/>
  <c r="R38" i="1"/>
  <c r="AQ70" i="1"/>
  <c r="AL70" i="1"/>
  <c r="BP70" i="1"/>
  <c r="AG70" i="1"/>
  <c r="BF70" i="1"/>
  <c r="AB70" i="1"/>
  <c r="W70" i="1"/>
  <c r="AQ69" i="1"/>
  <c r="AL69" i="1"/>
  <c r="AG69" i="1"/>
  <c r="BP69" i="1"/>
  <c r="AB69" i="1"/>
  <c r="BF69" i="1"/>
  <c r="BA69" i="1"/>
  <c r="W69" i="1"/>
  <c r="R69" i="1"/>
  <c r="AV69" i="1"/>
  <c r="AL68" i="1"/>
  <c r="BP68" i="1"/>
  <c r="AG68" i="1"/>
  <c r="BF68" i="1"/>
  <c r="AB68" i="1"/>
  <c r="BA68" i="1"/>
  <c r="AQ67" i="1"/>
  <c r="AL67" i="1"/>
  <c r="BP67" i="1"/>
  <c r="BF67" i="1"/>
  <c r="AB67" i="1"/>
  <c r="AG67" i="1"/>
  <c r="BA67" i="1"/>
  <c r="W67" i="1"/>
  <c r="BK67" i="1"/>
  <c r="R67" i="1"/>
  <c r="BK66" i="1"/>
  <c r="AG66" i="1"/>
  <c r="BF66" i="1"/>
  <c r="R65" i="1"/>
  <c r="AV65" i="1"/>
  <c r="AQ65" i="1"/>
  <c r="AL65" i="1"/>
  <c r="BP65" i="1"/>
  <c r="AG65" i="1"/>
  <c r="BK65" i="1"/>
  <c r="AB65" i="1"/>
  <c r="BF65" i="1"/>
  <c r="BA65" i="1"/>
  <c r="BP64" i="1"/>
  <c r="AV63" i="1"/>
  <c r="AQ63" i="1"/>
  <c r="BP63" i="1"/>
  <c r="BK63" i="1"/>
  <c r="W63" i="1"/>
  <c r="R63" i="1"/>
  <c r="BA63" i="1"/>
  <c r="R62" i="1"/>
  <c r="R61" i="1"/>
  <c r="AQ59" i="1"/>
  <c r="W59" i="1"/>
  <c r="M58" i="1"/>
  <c r="M54" i="1"/>
  <c r="BK54" i="1"/>
  <c r="R51" i="1"/>
  <c r="M51" i="1"/>
  <c r="R48" i="1"/>
  <c r="R41" i="1"/>
  <c r="BK40" i="1"/>
  <c r="BF40" i="1"/>
  <c r="AB40" i="1"/>
  <c r="W40" i="1"/>
  <c r="R40" i="1"/>
  <c r="AQ11" i="1"/>
  <c r="AG64" i="1"/>
  <c r="W64" i="1"/>
  <c r="BA64" i="1"/>
  <c r="R64" i="1"/>
  <c r="AB64" i="1"/>
  <c r="AV64" i="1"/>
  <c r="BF64" i="1"/>
  <c r="AQ64" i="1"/>
  <c r="AL63" i="1"/>
  <c r="AG63" i="1"/>
  <c r="AB63" i="1"/>
  <c r="AV62" i="1"/>
  <c r="M62" i="1"/>
  <c r="AQ62" i="1"/>
  <c r="AL62" i="1"/>
  <c r="BK62" i="1"/>
  <c r="BP62" i="1"/>
  <c r="AB62" i="1"/>
  <c r="BF62" i="1"/>
  <c r="AG62" i="1"/>
  <c r="W62" i="1"/>
  <c r="AV61" i="1"/>
  <c r="AL61" i="1"/>
  <c r="BK61" i="1"/>
  <c r="BP61" i="1"/>
  <c r="AG61" i="1"/>
  <c r="BF61" i="1"/>
  <c r="AB61" i="1"/>
  <c r="BA61" i="1"/>
  <c r="BK60" i="1"/>
  <c r="AL60" i="1"/>
  <c r="AG60" i="1"/>
  <c r="AB60" i="1"/>
  <c r="BF60" i="1"/>
  <c r="BP60" i="1"/>
  <c r="BA60" i="1"/>
  <c r="W60" i="1"/>
  <c r="R60" i="1"/>
  <c r="AV60" i="1"/>
  <c r="AQ60" i="1"/>
  <c r="AL59" i="1"/>
  <c r="BP59" i="1"/>
  <c r="AG59" i="1"/>
  <c r="BP58" i="1"/>
  <c r="BP57" i="1"/>
  <c r="AV57" i="1"/>
  <c r="AQ55" i="1"/>
  <c r="AV54" i="1"/>
  <c r="AQ54" i="1"/>
  <c r="AL54" i="1"/>
  <c r="BP54" i="1"/>
  <c r="AG54" i="1"/>
  <c r="AB54" i="1"/>
  <c r="BF54" i="1"/>
  <c r="BA54" i="1"/>
  <c r="BF49" i="1"/>
  <c r="R43" i="1"/>
  <c r="M43" i="1"/>
  <c r="R34" i="1"/>
  <c r="M34" i="1"/>
  <c r="AQ58" i="1"/>
  <c r="AL58" i="1"/>
  <c r="BK58" i="1"/>
  <c r="AG58" i="1"/>
  <c r="AB58" i="1"/>
  <c r="W58" i="1"/>
  <c r="BF58" i="1"/>
  <c r="BA58" i="1"/>
  <c r="AV58" i="1"/>
  <c r="AQ57" i="1"/>
  <c r="AL57" i="1"/>
  <c r="AG57" i="1"/>
  <c r="BF57" i="1"/>
  <c r="W57" i="1"/>
  <c r="BK57" i="1"/>
  <c r="BA57" i="1"/>
  <c r="AQ56" i="1"/>
  <c r="AL56" i="1"/>
  <c r="AG56" i="1"/>
  <c r="AB56" i="1"/>
  <c r="BF56" i="1"/>
  <c r="BA56" i="1"/>
  <c r="W56" i="1"/>
  <c r="BK56" i="1"/>
  <c r="AV56" i="1"/>
  <c r="AL55" i="1"/>
  <c r="AG55" i="1"/>
  <c r="BP55" i="1"/>
  <c r="AB55" i="1"/>
  <c r="BF55" i="1"/>
  <c r="BA55" i="1"/>
  <c r="W55" i="1"/>
  <c r="BK55" i="1"/>
  <c r="R55" i="1"/>
  <c r="M50" i="1"/>
  <c r="AQ49" i="1"/>
  <c r="AV49" i="1"/>
  <c r="BA49" i="1"/>
  <c r="AV45" i="1"/>
  <c r="R44" i="1"/>
  <c r="BA40" i="1"/>
  <c r="BA38" i="1"/>
  <c r="M35" i="1"/>
  <c r="BK22" i="1"/>
  <c r="AQ12" i="1"/>
  <c r="AB13" i="1"/>
  <c r="AL10" i="1"/>
  <c r="AB19" i="1"/>
  <c r="BP7" i="1"/>
  <c r="AQ5" i="1"/>
  <c r="W47" i="1"/>
  <c r="BK49" i="1"/>
  <c r="BA48" i="1"/>
  <c r="BA43" i="1"/>
  <c r="BA41" i="1"/>
  <c r="R33" i="1"/>
  <c r="AB34" i="1"/>
  <c r="AV40" i="1"/>
  <c r="M40" i="1"/>
  <c r="M39" i="1"/>
  <c r="W36" i="1"/>
  <c r="W35" i="1"/>
  <c r="AB51" i="1"/>
  <c r="W38" i="1"/>
  <c r="AQ40" i="1"/>
  <c r="BP50" i="1"/>
  <c r="R46" i="1"/>
  <c r="AB29" i="1"/>
  <c r="W31" i="1"/>
  <c r="AQ51" i="1"/>
  <c r="AL51" i="1"/>
  <c r="BP51" i="1"/>
  <c r="BK51" i="1"/>
  <c r="BF51" i="1"/>
  <c r="AG51" i="1"/>
  <c r="BA51" i="1"/>
  <c r="W51" i="1"/>
  <c r="BK50" i="1"/>
  <c r="AL50" i="1"/>
  <c r="AG50" i="1"/>
  <c r="AB50" i="1"/>
  <c r="W50" i="1"/>
  <c r="BF50" i="1"/>
  <c r="R50" i="1"/>
  <c r="AL49" i="1"/>
  <c r="AG49" i="1"/>
  <c r="AB49" i="1"/>
  <c r="AV48" i="1"/>
  <c r="AQ48" i="1"/>
  <c r="AV47" i="1"/>
  <c r="BP47" i="1"/>
  <c r="BK47" i="1"/>
  <c r="R47" i="1"/>
  <c r="BP46" i="1"/>
  <c r="M46" i="1"/>
  <c r="BK45" i="1"/>
  <c r="AQ45" i="1"/>
  <c r="AQ44" i="1"/>
  <c r="W44" i="1"/>
  <c r="M48" i="1"/>
  <c r="AL48" i="1"/>
  <c r="BP48" i="1"/>
  <c r="BK48" i="1"/>
  <c r="AG48" i="1"/>
  <c r="BF48" i="1"/>
  <c r="AB48" i="1"/>
  <c r="AQ47" i="1"/>
  <c r="AL47" i="1"/>
  <c r="BF47" i="1"/>
  <c r="AG47" i="1"/>
  <c r="AB47" i="1"/>
  <c r="BA47" i="1"/>
  <c r="AQ46" i="1"/>
  <c r="AL46" i="1"/>
  <c r="BK46" i="1"/>
  <c r="AG46" i="1"/>
  <c r="BF46" i="1"/>
  <c r="AB46" i="1"/>
  <c r="BA46" i="1"/>
  <c r="W46" i="1"/>
  <c r="AV46" i="1"/>
  <c r="AL45" i="1"/>
  <c r="AG45" i="1"/>
  <c r="AB45" i="1"/>
  <c r="BA45" i="1"/>
  <c r="AL44" i="1"/>
  <c r="AG44" i="1"/>
  <c r="BP44" i="1"/>
  <c r="AV43" i="1"/>
  <c r="BP43" i="1"/>
  <c r="BP42" i="1"/>
  <c r="AV42" i="1"/>
  <c r="BK42" i="1"/>
  <c r="BP41" i="1"/>
  <c r="AV41" i="1"/>
  <c r="AV38" i="1"/>
  <c r="BP38" i="1"/>
  <c r="AG38" i="1"/>
  <c r="BA34" i="1"/>
  <c r="W34" i="1"/>
  <c r="M33" i="1"/>
  <c r="M32" i="1"/>
  <c r="BK26" i="1"/>
  <c r="W14" i="1"/>
  <c r="AV12" i="1"/>
  <c r="AG11" i="1"/>
  <c r="AQ43" i="1"/>
  <c r="BF43" i="1"/>
  <c r="AL43" i="1"/>
  <c r="AG43" i="1"/>
  <c r="BK43" i="1"/>
  <c r="AB43" i="1"/>
  <c r="W43" i="1"/>
  <c r="AQ42" i="1"/>
  <c r="AL42" i="1"/>
  <c r="BF42" i="1"/>
  <c r="AG42" i="1"/>
  <c r="AB42" i="1"/>
  <c r="W42" i="1"/>
  <c r="AQ41" i="1"/>
  <c r="M41" i="1"/>
  <c r="BF41" i="1"/>
  <c r="AG41" i="1"/>
  <c r="AB41" i="1"/>
  <c r="W41" i="1"/>
  <c r="AL40" i="1"/>
  <c r="AG40" i="1"/>
  <c r="AQ38" i="1"/>
  <c r="AL38" i="1"/>
  <c r="M37" i="1"/>
  <c r="BK37" i="1"/>
  <c r="AQ37" i="1"/>
  <c r="AL37" i="1"/>
  <c r="AV36" i="1"/>
  <c r="AQ36" i="1"/>
  <c r="AV35" i="1"/>
  <c r="AQ35" i="1"/>
  <c r="AV15" i="1"/>
  <c r="BK15" i="1"/>
  <c r="BA15" i="1"/>
  <c r="BF15" i="1"/>
  <c r="BF14" i="1"/>
  <c r="BA14" i="1"/>
  <c r="R12" i="1"/>
  <c r="BP12" i="1"/>
  <c r="W12" i="1"/>
  <c r="M12" i="1"/>
  <c r="AG12" i="1"/>
  <c r="W9" i="1"/>
  <c r="AG39" i="1"/>
  <c r="BP39" i="1"/>
  <c r="AB39" i="1"/>
  <c r="BK39" i="1"/>
  <c r="AL39" i="1"/>
  <c r="BF39" i="1"/>
  <c r="W39" i="1"/>
  <c r="BA39" i="1"/>
  <c r="AV39" i="1"/>
  <c r="R39" i="1"/>
  <c r="AQ39" i="1"/>
  <c r="BK38" i="1"/>
  <c r="BF38" i="1"/>
  <c r="AB38" i="1"/>
  <c r="BF37" i="1"/>
  <c r="AG37" i="1"/>
  <c r="AB37" i="1"/>
  <c r="BA37" i="1"/>
  <c r="W37" i="1"/>
  <c r="AV37" i="1"/>
  <c r="R37" i="1"/>
  <c r="AL36" i="1"/>
  <c r="AG36" i="1"/>
  <c r="AB36" i="1"/>
  <c r="BP36" i="1"/>
  <c r="AG35" i="1"/>
  <c r="BP34" i="1"/>
  <c r="AV34" i="1"/>
  <c r="BP33" i="1"/>
  <c r="BP32" i="1"/>
  <c r="AV32" i="1"/>
  <c r="BK32" i="1"/>
  <c r="AQ32" i="1"/>
  <c r="R32" i="1"/>
  <c r="R31" i="1"/>
  <c r="M31" i="1"/>
  <c r="BP31" i="1"/>
  <c r="AV31" i="1"/>
  <c r="BK31" i="1"/>
  <c r="R30" i="1"/>
  <c r="M30" i="1"/>
  <c r="BK30" i="1"/>
  <c r="BF30" i="1"/>
  <c r="BP29" i="1"/>
  <c r="BK29" i="1"/>
  <c r="BF29" i="1"/>
  <c r="AL12" i="1"/>
  <c r="BK12" i="1"/>
  <c r="BF12" i="1"/>
  <c r="BP11" i="1"/>
  <c r="M11" i="1"/>
  <c r="AV11" i="1"/>
  <c r="AV9" i="1"/>
  <c r="AL35" i="1"/>
  <c r="BP35" i="1"/>
  <c r="BK35" i="1"/>
  <c r="BF35" i="1"/>
  <c r="AB35" i="1"/>
  <c r="BA35" i="1"/>
  <c r="AQ34" i="1"/>
  <c r="BK34" i="1"/>
  <c r="AL34" i="1"/>
  <c r="AG34" i="1"/>
  <c r="AQ33" i="1"/>
  <c r="AL33" i="1"/>
  <c r="BK33" i="1"/>
  <c r="BF33" i="1"/>
  <c r="AB33" i="1"/>
  <c r="AG33" i="1"/>
  <c r="W33" i="1"/>
  <c r="BA33" i="1"/>
  <c r="AV33" i="1"/>
  <c r="AL32" i="1"/>
  <c r="AG32" i="1"/>
  <c r="BF32" i="1"/>
  <c r="AB32" i="1"/>
  <c r="BA32" i="1"/>
  <c r="AQ31" i="1"/>
  <c r="AL31" i="1"/>
  <c r="BF31" i="1"/>
  <c r="AG31" i="1"/>
  <c r="AB31" i="1"/>
  <c r="BA31" i="1"/>
  <c r="AL30" i="1"/>
  <c r="AG30" i="1"/>
  <c r="AB30" i="1"/>
  <c r="BA30" i="1"/>
  <c r="W30" i="1"/>
  <c r="BP23" i="1"/>
  <c r="BK21" i="1"/>
  <c r="BK19" i="1"/>
  <c r="BK16" i="1"/>
  <c r="BP15" i="1"/>
  <c r="AB14" i="1"/>
  <c r="AG14" i="1"/>
  <c r="M14" i="1"/>
  <c r="AL14" i="1"/>
  <c r="R14" i="1"/>
  <c r="AV14" i="1"/>
  <c r="BK14" i="1"/>
  <c r="AQ14" i="1"/>
  <c r="AQ13" i="1"/>
  <c r="R13" i="1"/>
  <c r="W13" i="1"/>
  <c r="AV13" i="1"/>
  <c r="BP13" i="1"/>
  <c r="AG13" i="1"/>
  <c r="BK13" i="1"/>
  <c r="M13" i="1"/>
  <c r="BA13" i="1"/>
  <c r="BF13" i="1"/>
  <c r="BK11" i="1"/>
  <c r="AL11" i="1"/>
  <c r="R11" i="1"/>
  <c r="BA11" i="1"/>
  <c r="BF11" i="1"/>
  <c r="AB11" i="1"/>
  <c r="AV5" i="1"/>
  <c r="BA5" i="1"/>
  <c r="BK10" i="1"/>
  <c r="W8" i="1"/>
  <c r="BA8" i="1"/>
  <c r="AQ8" i="1"/>
  <c r="R10" i="1"/>
  <c r="AV7" i="1"/>
  <c r="AL7" i="1"/>
  <c r="M7" i="1"/>
  <c r="R6" i="1"/>
  <c r="AG5" i="1"/>
  <c r="R5" i="1"/>
  <c r="M5" i="1"/>
  <c r="BF5" i="1"/>
  <c r="AL5" i="1"/>
  <c r="W5" i="1"/>
  <c r="BA9" i="1"/>
  <c r="AL9" i="1"/>
  <c r="AQ9" i="1"/>
  <c r="AB10" i="1"/>
  <c r="BF9" i="1"/>
  <c r="BA7" i="1"/>
  <c r="BP6" i="1"/>
  <c r="R9" i="1"/>
  <c r="BK5" i="1"/>
  <c r="AG9" i="1"/>
  <c r="BF10" i="1"/>
  <c r="AG10" i="1"/>
  <c r="AQ10" i="1"/>
  <c r="BA10" i="1"/>
  <c r="AV10" i="1"/>
  <c r="M10" i="1"/>
  <c r="W10" i="1"/>
  <c r="BP10" i="1"/>
  <c r="BP9" i="1"/>
  <c r="AB9" i="1"/>
  <c r="BK9" i="1"/>
  <c r="AV8" i="1"/>
  <c r="BP8" i="1"/>
  <c r="M8" i="1"/>
  <c r="BK8" i="1"/>
  <c r="AG8" i="1"/>
  <c r="AB8" i="1"/>
  <c r="BF8" i="1"/>
  <c r="AG7" i="1"/>
  <c r="BF7" i="1"/>
  <c r="W7" i="1"/>
  <c r="AQ7" i="1"/>
  <c r="AB7" i="1"/>
  <c r="BK7" i="1"/>
  <c r="R7" i="1"/>
  <c r="BA6" i="1"/>
  <c r="AV6" i="1"/>
  <c r="AL6" i="1"/>
  <c r="BF6" i="1"/>
  <c r="BK6" i="1"/>
  <c r="M6" i="1"/>
  <c r="AQ6" i="1"/>
  <c r="W6" i="1"/>
  <c r="AG6" i="1"/>
  <c r="AB6" i="1"/>
  <c r="BP5" i="1"/>
  <c r="AB5" i="1"/>
  <c r="AQ4" i="1"/>
  <c r="AB4" i="1"/>
  <c r="BP4" i="1"/>
  <c r="AL4" i="1"/>
  <c r="AV4" i="1"/>
  <c r="BA4" i="1"/>
  <c r="W4" i="1"/>
  <c r="AG4" i="1"/>
  <c r="BK4" i="1"/>
  <c r="R4" i="1"/>
  <c r="BF4" i="1"/>
  <c r="BP28" i="1"/>
  <c r="AB76" i="1"/>
  <c r="AB15" i="1"/>
  <c r="W15" i="1"/>
  <c r="M15" i="1"/>
  <c r="AQ15" i="1"/>
  <c r="AL15" i="1"/>
  <c r="R15" i="1"/>
  <c r="W73" i="1"/>
  <c r="R76" i="1"/>
  <c r="G3" i="1"/>
  <c r="BA3" i="1" s="1"/>
  <c r="BZ18" i="1"/>
  <c r="CE23" i="1"/>
  <c r="CE26" i="1"/>
  <c r="BZ3" i="1"/>
  <c r="BK18" i="1"/>
  <c r="BZ24" i="1"/>
  <c r="BP19" i="1"/>
  <c r="BZ17" i="1"/>
  <c r="G17" i="1"/>
  <c r="BK17" i="1" s="1"/>
  <c r="AL21" i="1"/>
  <c r="BK24" i="1"/>
  <c r="BF28" i="1"/>
  <c r="BK25" i="1"/>
  <c r="BK20" i="1"/>
  <c r="AV53" i="1"/>
  <c r="AQ73" i="1"/>
  <c r="AG74" i="1"/>
  <c r="BA28" i="1"/>
  <c r="M28" i="1"/>
  <c r="AV19" i="1"/>
  <c r="AG28" i="1"/>
  <c r="AB16" i="1"/>
  <c r="BF74" i="1"/>
  <c r="AV74" i="1"/>
  <c r="AB74" i="1"/>
  <c r="AL74" i="1"/>
  <c r="AQ74" i="1"/>
  <c r="M74" i="1"/>
  <c r="AL53" i="1"/>
  <c r="AQ53" i="1"/>
  <c r="BK53" i="1"/>
  <c r="R53" i="1"/>
  <c r="W53" i="1"/>
  <c r="M53" i="1"/>
  <c r="BF53" i="1"/>
  <c r="BA53" i="1"/>
  <c r="AG53" i="1"/>
  <c r="AB53" i="1"/>
  <c r="BA29" i="1"/>
  <c r="BK23" i="1"/>
  <c r="R16" i="1"/>
  <c r="AB75" i="1"/>
  <c r="AV75" i="1"/>
  <c r="BF75" i="1"/>
  <c r="R75" i="1"/>
  <c r="AL75" i="1"/>
  <c r="BK75" i="1"/>
  <c r="BA75" i="1"/>
  <c r="AQ75" i="1"/>
  <c r="AG75" i="1"/>
  <c r="W75" i="1"/>
  <c r="BF26" i="1"/>
  <c r="AB18" i="1"/>
  <c r="AV18" i="1"/>
  <c r="AB23" i="1"/>
  <c r="R19" i="1"/>
  <c r="BA23" i="1"/>
  <c r="AQ23" i="1"/>
  <c r="AQ19" i="1"/>
  <c r="M19" i="1"/>
  <c r="W19" i="1"/>
  <c r="W16" i="1"/>
  <c r="BF16" i="1"/>
  <c r="M20" i="1"/>
  <c r="BA24" i="1"/>
  <c r="AL29" i="1"/>
  <c r="AG29" i="1"/>
  <c r="R29" i="1"/>
  <c r="W29" i="1"/>
  <c r="BA26" i="1"/>
  <c r="BF20" i="1"/>
  <c r="AG20" i="1"/>
  <c r="BA22" i="1"/>
  <c r="W24" i="1"/>
  <c r="W23" i="1"/>
  <c r="R23" i="1"/>
  <c r="AG23" i="1"/>
  <c r="BF22" i="1"/>
  <c r="AG19" i="1"/>
  <c r="BA19" i="1"/>
  <c r="M76" i="1"/>
  <c r="M23" i="1"/>
  <c r="BU19" i="1"/>
  <c r="BU23" i="1"/>
  <c r="BF19" i="1"/>
  <c r="BF23" i="1"/>
  <c r="AV23" i="1"/>
  <c r="AL19" i="1"/>
  <c r="AL23" i="1"/>
  <c r="AG18" i="1"/>
  <c r="M22" i="1"/>
  <c r="AV29" i="1"/>
  <c r="AG26" i="1"/>
  <c r="BU18" i="1"/>
  <c r="BP18" i="1"/>
  <c r="AV26" i="1"/>
  <c r="AB26" i="1"/>
  <c r="W18" i="1"/>
  <c r="R26" i="1"/>
  <c r="M29" i="1"/>
  <c r="BU22" i="1"/>
  <c r="BF18" i="1"/>
  <c r="AQ29" i="1"/>
  <c r="AG76" i="1"/>
  <c r="BU26" i="1"/>
  <c r="BA76" i="1"/>
  <c r="AB17" i="1"/>
  <c r="BU21" i="1"/>
  <c r="AL25" i="1"/>
  <c r="R28" i="1"/>
  <c r="AL28" i="1"/>
  <c r="AV28" i="1"/>
  <c r="BU76" i="1"/>
  <c r="AQ28" i="1"/>
  <c r="W28" i="1"/>
  <c r="BU3" i="1"/>
  <c r="R22" i="1"/>
  <c r="AV22" i="1"/>
  <c r="W74" i="1"/>
  <c r="R74" i="1"/>
  <c r="BA74" i="1"/>
  <c r="BA25" i="1"/>
  <c r="W25" i="1"/>
  <c r="W76" i="1"/>
  <c r="AV76" i="1"/>
  <c r="BF76" i="1"/>
  <c r="BA21" i="1"/>
  <c r="AB28" i="1"/>
  <c r="R18" i="1"/>
  <c r="R21" i="1"/>
  <c r="AL76" i="1"/>
  <c r="AQ76" i="1"/>
  <c r="AL16" i="1"/>
  <c r="AB20" i="1"/>
  <c r="AB24" i="1"/>
  <c r="BU20" i="1"/>
  <c r="BP16" i="1"/>
  <c r="BP24" i="1"/>
  <c r="BA20" i="1"/>
  <c r="AV24" i="1"/>
  <c r="AQ20" i="1"/>
  <c r="R24" i="1"/>
  <c r="AL20" i="1"/>
  <c r="M24" i="1"/>
  <c r="BU16" i="1"/>
  <c r="BA16" i="1"/>
  <c r="AV20" i="1"/>
  <c r="AG16" i="1"/>
  <c r="AG24" i="1"/>
  <c r="W20" i="1"/>
  <c r="M16" i="1"/>
  <c r="BP20" i="1"/>
  <c r="BF24" i="1"/>
  <c r="AV16" i="1"/>
  <c r="AQ16" i="1"/>
  <c r="AQ24" i="1"/>
  <c r="AL24" i="1"/>
  <c r="R20" i="1"/>
  <c r="M25" i="1"/>
  <c r="BP21" i="1"/>
  <c r="BP25" i="1"/>
  <c r="AQ21" i="1"/>
  <c r="AQ25" i="1"/>
  <c r="AG21" i="1"/>
  <c r="AG25" i="1"/>
  <c r="R25" i="1"/>
  <c r="W21" i="1"/>
  <c r="M18" i="1"/>
  <c r="BF21" i="1"/>
  <c r="BF25" i="1"/>
  <c r="BA18" i="1"/>
  <c r="AV21" i="1"/>
  <c r="AV25" i="1"/>
  <c r="AL22" i="1"/>
  <c r="AL26" i="1"/>
  <c r="AB25" i="1"/>
  <c r="W22" i="1"/>
  <c r="W26" i="1"/>
  <c r="AB21" i="1"/>
  <c r="M26" i="1"/>
  <c r="M21" i="1"/>
  <c r="BU17" i="1"/>
  <c r="BU25" i="1"/>
  <c r="BP22" i="1"/>
  <c r="BP26" i="1"/>
  <c r="AQ18" i="1"/>
  <c r="AQ22" i="1"/>
  <c r="AQ26" i="1"/>
  <c r="AL18" i="1"/>
  <c r="AG22" i="1"/>
  <c r="AB22" i="1"/>
  <c r="AG40" i="28" l="1"/>
  <c r="M41" i="28"/>
  <c r="AL41" i="28"/>
  <c r="AB40" i="28"/>
  <c r="AQ41" i="28"/>
  <c r="AL40" i="28"/>
  <c r="BF41" i="28"/>
  <c r="BF40" i="28"/>
  <c r="W41" i="28"/>
  <c r="W40" i="28"/>
  <c r="BA41" i="28"/>
  <c r="BA40" i="28"/>
  <c r="AV41" i="28"/>
  <c r="AV40" i="28"/>
  <c r="BP41" i="28"/>
  <c r="BP40" i="28"/>
  <c r="M40" i="28"/>
  <c r="AB41" i="28"/>
  <c r="BK41" i="28"/>
  <c r="BK40" i="28"/>
  <c r="R41" i="28"/>
  <c r="R40" i="28"/>
  <c r="AQ40" i="28"/>
  <c r="AG41" i="28"/>
  <c r="AQ17" i="1"/>
  <c r="BP17" i="1"/>
  <c r="AV3" i="1"/>
  <c r="BK3" i="1"/>
  <c r="BK77" i="1" s="1"/>
  <c r="AQ3" i="1"/>
  <c r="AQ78" i="1" s="1"/>
  <c r="BP3" i="1"/>
  <c r="BP77" i="1" s="1"/>
  <c r="AG3" i="1"/>
  <c r="M3" i="1"/>
  <c r="AB3" i="1"/>
  <c r="AB77" i="1" s="1"/>
  <c r="W3" i="1"/>
  <c r="BZ78" i="1"/>
  <c r="CE78" i="1"/>
  <c r="AL3" i="1"/>
  <c r="CE77" i="1"/>
  <c r="R3" i="1"/>
  <c r="BF3" i="1"/>
  <c r="BZ77" i="1"/>
  <c r="BF17" i="1"/>
  <c r="BF78" i="1" s="1"/>
  <c r="AG17" i="1"/>
  <c r="BA17" i="1"/>
  <c r="AV17" i="1"/>
  <c r="AV78" i="1" s="1"/>
  <c r="AL17" i="1"/>
  <c r="R17" i="1"/>
  <c r="W17" i="1"/>
  <c r="M17" i="1"/>
  <c r="BU77" i="1"/>
  <c r="BU78" i="1"/>
  <c r="W77" i="1" l="1"/>
  <c r="BK78" i="1"/>
  <c r="AQ77" i="1"/>
  <c r="BP78" i="1"/>
  <c r="AG77" i="1"/>
  <c r="AB78" i="1"/>
  <c r="M78" i="1"/>
  <c r="AL77" i="1"/>
  <c r="BF77" i="1"/>
  <c r="BA77" i="1"/>
  <c r="R78" i="1"/>
  <c r="BA78" i="1"/>
  <c r="AG78" i="1"/>
  <c r="W78" i="1"/>
  <c r="M77" i="1"/>
  <c r="AL78" i="1"/>
  <c r="AV77" i="1"/>
  <c r="R77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CE5557D-FC29-4809-88D7-8BB2FF43D99D}" keepAlive="1" name="Zapytanie — Diag_Fevent_WC2026" description="Połączenie z zapytaniem „Diag_Fevent_WC2026” w skoroszycie." type="5" refreshedVersion="8" background="1" saveData="1">
    <dbPr connection="Provider=Microsoft.Mashup.OleDb.1;Data Source=$Workbook$;Location=Diag_Fevent_WC2026;Extended Properties=&quot;&quot;" command="SELECT * FROM [Diag_Fevent_WC2026]"/>
  </connection>
  <connection id="2" xr16:uid="{9C715F63-91B0-4679-8FA7-C25168CA6E80}" keepAlive="1" name="Zapytanie — Faza_Pucharowa_2026" description="Połączenie z zapytaniem „Faza_Pucharowa_2026” w skoroszycie." type="5" refreshedVersion="8" background="1" refreshOnLoad="1" saveData="1">
    <dbPr connection="Provider=Microsoft.Mashup.OleDb.1;Data Source=$Workbook$;Location=Faza_Pucharowa_2026;Extended Properties=&quot;&quot;" command="SELECT * FROM [Faza_Pucharowa_2026]"/>
  </connection>
  <connection id="3" xr16:uid="{D9FA0BD6-9C0D-4842-A956-86322A51B293}" keepAlive="1" name="Zapytanie — fnTabelaGrupy" description="Połączenie z zapytaniem „fnTabelaGrupy” w skoroszycie." type="5" refreshedVersion="0" background="1">
    <dbPr connection="Provider=Microsoft.Mashup.OleDb.1;Data Source=$Workbook$;Location=fnTabelaGrupy;Extended Properties=&quot;&quot;" command="SELECT * FROM [fnTabelaGrupy]"/>
  </connection>
  <connection id="4" xr16:uid="{7082F6EB-2177-46BF-A2C1-D7B876194B31}" keepAlive="1" name="Zapytanie — Tabele_Grup_A_L" description="Połączenie z zapytaniem „Tabele_Grup_A_L” w skoroszycie." type="5" refreshedVersion="8" background="1" saveData="1">
    <dbPr connection="Provider=Microsoft.Mashup.OleDb.1;Data Source=$Workbook$;Location=Tabele_Grup_A_L;Extended Properties=&quot;&quot;" command="SELECT * FROM [Tabele_Grup_A_L]"/>
  </connection>
  <connection id="5" xr16:uid="{2D8B0AC0-3695-4B70-89A9-FFC161D48492}" keepAlive="1" name="Zapytanie — Wyniki_Faz_Puchar" description="Połączenie z zapytaniem „Wyniki_Faz_Puchar” w skoroszycie." type="5" refreshedVersion="8" background="1" saveData="1">
    <dbPr connection="Provider=Microsoft.Mashup.OleDb.1;Data Source=$Workbook$;Location=Wyniki_Faz_Puchar;Extended Properties=&quot;&quot;" command="SELECT * FROM [Wyniki_Faz_Puchar]"/>
  </connection>
  <connection id="6" xr16:uid="{1E9579B5-D22A-4C8D-8DA9-0D68D64E8907}" keepAlive="1" name="Zapytanie — Wyniki_Meczow_2026" description="Połączenie z zapytaniem „Wyniki_Meczow_2026” w skoroszycie." type="5" refreshedVersion="8" background="1" saveData="1">
    <dbPr connection="Provider=Microsoft.Mashup.OleDb.1;Data Source=$Workbook$;Location=Wyniki_Meczow_2026;Extended Properties=&quot;&quot;" command="SELECT * FROM [Wyniki_Meczow_2026]"/>
  </connection>
</connections>
</file>

<file path=xl/sharedStrings.xml><?xml version="1.0" encoding="utf-8"?>
<sst xmlns="http://schemas.openxmlformats.org/spreadsheetml/2006/main" count="2746" uniqueCount="274">
  <si>
    <t>:</t>
  </si>
  <si>
    <t>Krzysztof R.</t>
  </si>
  <si>
    <t>rezultat meczu</t>
  </si>
  <si>
    <t>Miejsce</t>
  </si>
  <si>
    <t>Grzegorz K.</t>
  </si>
  <si>
    <t>Juliusz P.</t>
  </si>
  <si>
    <t>Punkty</t>
  </si>
  <si>
    <t>Mariusz M.</t>
  </si>
  <si>
    <t>Austria</t>
  </si>
  <si>
    <t>FAZA GR. I</t>
  </si>
  <si>
    <t>FAZA GR. II</t>
  </si>
  <si>
    <t>FAZA GR. III</t>
  </si>
  <si>
    <t>Drużyna</t>
  </si>
  <si>
    <t>Zwycięstwa</t>
  </si>
  <si>
    <t>Remisy</t>
  </si>
  <si>
    <t>Porażki</t>
  </si>
  <si>
    <t>A</t>
  </si>
  <si>
    <t>D</t>
  </si>
  <si>
    <t>B</t>
  </si>
  <si>
    <t>C</t>
  </si>
  <si>
    <t>E</t>
  </si>
  <si>
    <t>F</t>
  </si>
  <si>
    <t>MŚ, AMERYKA 2026</t>
  </si>
  <si>
    <t>South Africa</t>
  </si>
  <si>
    <t>South Korea</t>
  </si>
  <si>
    <t>L</t>
  </si>
  <si>
    <t>Mecze</t>
  </si>
  <si>
    <t>Bramki+</t>
  </si>
  <si>
    <t>Bramki-</t>
  </si>
  <si>
    <t>Bilans</t>
  </si>
  <si>
    <t>0</t>
  </si>
  <si>
    <t>Grupa</t>
  </si>
  <si>
    <t>Drużyna 1</t>
  </si>
  <si>
    <t>Drużyna 2</t>
  </si>
  <si>
    <t>Switzerland</t>
  </si>
  <si>
    <t>Brazil</t>
  </si>
  <si>
    <t>Morocco</t>
  </si>
  <si>
    <t>Haiti</t>
  </si>
  <si>
    <t>Scotland</t>
  </si>
  <si>
    <t>Paraguay</t>
  </si>
  <si>
    <t>Australia</t>
  </si>
  <si>
    <t>Curaçao</t>
  </si>
  <si>
    <t>Ivory Coast</t>
  </si>
  <si>
    <t>Ecuador</t>
  </si>
  <si>
    <t>Netherlands</t>
  </si>
  <si>
    <t>Japan</t>
  </si>
  <si>
    <t>Sweden</t>
  </si>
  <si>
    <t>Belgium</t>
  </si>
  <si>
    <t>Egypt</t>
  </si>
  <si>
    <t>Iran</t>
  </si>
  <si>
    <t>New Zealand</t>
  </si>
  <si>
    <t>Spain</t>
  </si>
  <si>
    <t>Cape Verde</t>
  </si>
  <si>
    <t>Saudi Arabia</t>
  </si>
  <si>
    <t>Uruguay</t>
  </si>
  <si>
    <t>Senegal</t>
  </si>
  <si>
    <t>Iraq</t>
  </si>
  <si>
    <t>Argentina</t>
  </si>
  <si>
    <t>Algeria</t>
  </si>
  <si>
    <t>Portugal</t>
  </si>
  <si>
    <t>DR Congo</t>
  </si>
  <si>
    <t>Uzbekistan</t>
  </si>
  <si>
    <t>England</t>
  </si>
  <si>
    <t>Croatia</t>
  </si>
  <si>
    <t>Ghana</t>
  </si>
  <si>
    <t>Panama</t>
  </si>
  <si>
    <t>Loser Match 101</t>
  </si>
  <si>
    <t>Loser Match 102</t>
  </si>
  <si>
    <t>Winner Match 101</t>
  </si>
  <si>
    <t>Winner Match 102</t>
  </si>
  <si>
    <t>G</t>
  </si>
  <si>
    <t>H</t>
  </si>
  <si>
    <t>I</t>
  </si>
  <si>
    <t>J</t>
  </si>
  <si>
    <t>K</t>
  </si>
  <si>
    <t>Runda</t>
  </si>
  <si>
    <t>Third-place play-off</t>
  </si>
  <si>
    <t>Final</t>
  </si>
  <si>
    <t>Haiti C</t>
  </si>
  <si>
    <t>Australia D</t>
  </si>
  <si>
    <t>Iran G</t>
  </si>
  <si>
    <t>Austria J</t>
  </si>
  <si>
    <t>Uzbekistan K</t>
  </si>
  <si>
    <t>Ghana L</t>
  </si>
  <si>
    <t>Curaçao E</t>
  </si>
  <si>
    <t>Senegal I</t>
  </si>
  <si>
    <t>Panama L</t>
  </si>
  <si>
    <t>Szwajcaria B</t>
  </si>
  <si>
    <t>Szkocja C</t>
  </si>
  <si>
    <t>Turcja D</t>
  </si>
  <si>
    <t>Holandia F</t>
  </si>
  <si>
    <t>Hiszpania H</t>
  </si>
  <si>
    <t>Chorwacja L</t>
  </si>
  <si>
    <t>Meksyk A</t>
  </si>
  <si>
    <t>Republika Południowej Afryki A</t>
  </si>
  <si>
    <t>Korea Południowa A</t>
  </si>
  <si>
    <t>Czechy A</t>
  </si>
  <si>
    <t>Kanada B</t>
  </si>
  <si>
    <t>Bośnia i Hercegowina B</t>
  </si>
  <si>
    <t>USA D</t>
  </si>
  <si>
    <t>Paragwaj D</t>
  </si>
  <si>
    <t>Katar B</t>
  </si>
  <si>
    <t>Brazylia C</t>
  </si>
  <si>
    <t>Maroko C</t>
  </si>
  <si>
    <t>Niemcy E</t>
  </si>
  <si>
    <t>Japonia F</t>
  </si>
  <si>
    <t>Wybrzeże Kości Słoniowej E</t>
  </si>
  <si>
    <t>Ekwador E</t>
  </si>
  <si>
    <t>Szwecja F</t>
  </si>
  <si>
    <t>Tunezja F</t>
  </si>
  <si>
    <t>Republika Zielonego Przylądka H</t>
  </si>
  <si>
    <t>Belgia G</t>
  </si>
  <si>
    <t>Egipt G</t>
  </si>
  <si>
    <t>Arabia Saudyjska H</t>
  </si>
  <si>
    <t>Urugwaj H</t>
  </si>
  <si>
    <t>Nowa Zelandia G</t>
  </si>
  <si>
    <t>Francja I</t>
  </si>
  <si>
    <t>Irak I</t>
  </si>
  <si>
    <t>Norwegia I</t>
  </si>
  <si>
    <t>Argentyna J</t>
  </si>
  <si>
    <t>Algieria J</t>
  </si>
  <si>
    <t>Jordania J</t>
  </si>
  <si>
    <t>Portugalia K</t>
  </si>
  <si>
    <t>Demokratyczna Republika Konga K</t>
  </si>
  <si>
    <t>Anglia L</t>
  </si>
  <si>
    <t>Kolumbia K</t>
  </si>
  <si>
    <t xml:space="preserve">TWOJE IMIĘ: </t>
  </si>
  <si>
    <t>Imie</t>
  </si>
  <si>
    <t>Tomek O.</t>
  </si>
  <si>
    <t>Player7</t>
  </si>
  <si>
    <t>Player8</t>
  </si>
  <si>
    <t>Player9</t>
  </si>
  <si>
    <t xml:space="preserve">Odśwież Tabelę </t>
  </si>
  <si>
    <t>Ania S.</t>
  </si>
  <si>
    <t>wynik</t>
  </si>
  <si>
    <t>Hubert P.</t>
  </si>
  <si>
    <t>Republika Poł. Afryki A</t>
  </si>
  <si>
    <t>Republika Ziel. Przylądka H</t>
  </si>
  <si>
    <t>Dem. Rep. Konga K</t>
  </si>
  <si>
    <t>Dem.Rep. Konga K</t>
  </si>
  <si>
    <t>Milena O.</t>
  </si>
  <si>
    <t xml:space="preserve">Miejsce   </t>
  </si>
  <si>
    <t>Dokl.</t>
  </si>
  <si>
    <t>Mateusz G.</t>
  </si>
  <si>
    <t>Michał Gol.</t>
  </si>
  <si>
    <t>Paweł Gol.</t>
  </si>
  <si>
    <t>Michał Mak.</t>
  </si>
  <si>
    <t>Data i godzina PL</t>
  </si>
  <si>
    <t>Gole 1</t>
  </si>
  <si>
    <t>Gole 2</t>
  </si>
  <si>
    <t>Status</t>
  </si>
  <si>
    <t>Wynik źródłowy</t>
  </si>
  <si>
    <t>Meksyk</t>
  </si>
  <si>
    <t>Republika Południowej Afryki</t>
  </si>
  <si>
    <t>Rozegrany</t>
  </si>
  <si>
    <t>2–0</t>
  </si>
  <si>
    <t>Korea Południowa</t>
  </si>
  <si>
    <t>Czechy</t>
  </si>
  <si>
    <t>2–1</t>
  </si>
  <si>
    <t>Kanada</t>
  </si>
  <si>
    <t>Bośnia i Hercegowina</t>
  </si>
  <si>
    <t>1–1</t>
  </si>
  <si>
    <t>USA</t>
  </si>
  <si>
    <t>Paragwaj</t>
  </si>
  <si>
    <t>4–1</t>
  </si>
  <si>
    <t>Katar</t>
  </si>
  <si>
    <t>Szwajcaria</t>
  </si>
  <si>
    <t>Brazylia</t>
  </si>
  <si>
    <t>Maroko</t>
  </si>
  <si>
    <t>Szkocja</t>
  </si>
  <si>
    <t>0–1</t>
  </si>
  <si>
    <t>Turcja</t>
  </si>
  <si>
    <t>Niemcy</t>
  </si>
  <si>
    <t>Holandia</t>
  </si>
  <si>
    <t>Japonia</t>
  </si>
  <si>
    <t>Wybrzeże Kości Słoniowej</t>
  </si>
  <si>
    <t>Ekwador</t>
  </si>
  <si>
    <t>Szwecja</t>
  </si>
  <si>
    <t>Tunezja</t>
  </si>
  <si>
    <t>Hiszpania</t>
  </si>
  <si>
    <t>Republika Zielonego Przylądka</t>
  </si>
  <si>
    <t>Belgia</t>
  </si>
  <si>
    <t>Egipt</t>
  </si>
  <si>
    <t>Arabia Saudyjska</t>
  </si>
  <si>
    <t>Urugwaj</t>
  </si>
  <si>
    <t>Nowa Zelandia</t>
  </si>
  <si>
    <t>Francja</t>
  </si>
  <si>
    <t>Irak</t>
  </si>
  <si>
    <t>Norwegia</t>
  </si>
  <si>
    <t>Argentyna</t>
  </si>
  <si>
    <t>Algieria</t>
  </si>
  <si>
    <t>Jordania</t>
  </si>
  <si>
    <t>Portugalia</t>
  </si>
  <si>
    <t>Demokratyczna Republika Konga</t>
  </si>
  <si>
    <t>Anglia</t>
  </si>
  <si>
    <t>Chorwacja</t>
  </si>
  <si>
    <t>Kolumbia</t>
  </si>
  <si>
    <t>+2</t>
  </si>
  <si>
    <t>+1</t>
  </si>
  <si>
    <t>−1</t>
  </si>
  <si>
    <t>−2</t>
  </si>
  <si>
    <t>+3</t>
  </si>
  <si>
    <t>−3</t>
  </si>
  <si>
    <t>7–1</t>
  </si>
  <si>
    <t>2–2</t>
  </si>
  <si>
    <t>1–0</t>
  </si>
  <si>
    <t>5–1</t>
  </si>
  <si>
    <t>0–0</t>
  </si>
  <si>
    <t>3–1</t>
  </si>
  <si>
    <t>1–4</t>
  </si>
  <si>
    <t>3–0</t>
  </si>
  <si>
    <t>4–2</t>
  </si>
  <si>
    <t>1–3</t>
  </si>
  <si>
    <t>6–0</t>
  </si>
  <si>
    <t>0–4</t>
  </si>
  <si>
    <t>+6</t>
  </si>
  <si>
    <t>−6</t>
  </si>
  <si>
    <t>−4</t>
  </si>
  <si>
    <t>+5</t>
  </si>
  <si>
    <t>+7</t>
  </si>
  <si>
    <t>+4</t>
  </si>
  <si>
    <t>−8</t>
  </si>
  <si>
    <t>4–0</t>
  </si>
  <si>
    <t>3–2</t>
  </si>
  <si>
    <t>1–2</t>
  </si>
  <si>
    <t>5–0</t>
  </si>
  <si>
    <t>0–3</t>
  </si>
  <si>
    <t>Germany</t>
  </si>
  <si>
    <t>0–2</t>
  </si>
  <si>
    <t>1–5</t>
  </si>
  <si>
    <t>3–3</t>
  </si>
  <si>
    <t>France</t>
  </si>
  <si>
    <t>Norway</t>
  </si>
  <si>
    <t>Bosnia and Herzegovina</t>
  </si>
  <si>
    <t>Colombia</t>
  </si>
  <si>
    <t>Mexico (H)</t>
  </si>
  <si>
    <t>Czech Republic</t>
  </si>
  <si>
    <t>Canada (H)</t>
  </si>
  <si>
    <t>Qatar</t>
  </si>
  <si>
    <t>United States (H)</t>
  </si>
  <si>
    <t>Turkey</t>
  </si>
  <si>
    <t>Tunisia</t>
  </si>
  <si>
    <t>−10</t>
  </si>
  <si>
    <t>+8</t>
  </si>
  <si>
    <t>−11</t>
  </si>
  <si>
    <t>Jordan</t>
  </si>
  <si>
    <t>−5</t>
  </si>
  <si>
    <t>−9</t>
  </si>
  <si>
    <t>RUNDA 1/16</t>
  </si>
  <si>
    <t>RUNDA1/32</t>
  </si>
  <si>
    <t xml:space="preserve">ĆWIERĆ FIANŁY </t>
  </si>
  <si>
    <t>PÓŁFINAŁY</t>
  </si>
  <si>
    <t>MECZ O 3 M-ce</t>
  </si>
  <si>
    <t>FINAŁ</t>
  </si>
  <si>
    <t xml:space="preserve">ODSWIEZ TABELĘ PRZEZ </t>
  </si>
  <si>
    <t xml:space="preserve">PRAWY PRZYCISK MYSZY NA POLACH TABELI </t>
  </si>
  <si>
    <t>NASTĘPNIE : ODŚWIEŻ !!!</t>
  </si>
  <si>
    <t>Zaplanowany</t>
  </si>
  <si>
    <t>Match 101</t>
  </si>
  <si>
    <t>Match 102</t>
  </si>
  <si>
    <t>Match 103</t>
  </si>
  <si>
    <t>Match 104</t>
  </si>
  <si>
    <t>Player 0</t>
  </si>
  <si>
    <t>Player x</t>
  </si>
  <si>
    <t>Player Y</t>
  </si>
  <si>
    <t>Player B</t>
  </si>
  <si>
    <t>Player C</t>
  </si>
  <si>
    <t>Player D</t>
  </si>
  <si>
    <t>1–1 (a.e.t.)</t>
  </si>
  <si>
    <t>3–2 (a.e.t.)</t>
  </si>
  <si>
    <t>2–3</t>
  </si>
  <si>
    <t>0–0 (a.e.t.)</t>
  </si>
  <si>
    <t>1–2 (a.e.t.)</t>
  </si>
  <si>
    <t>3–1 (a.e.t.)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</si>
</sst>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15]General"/>
  </numFmts>
  <fonts count="32">
    <font>
      <sz val="10"/>
      <name val="Arial"/>
      <charset val="238"/>
    </font>
    <font>
      <b/>
      <sz val="10"/>
      <name val="Arial"/>
      <family val="2"/>
      <charset val="238"/>
    </font>
    <font>
      <sz val="8"/>
      <name val="Arial"/>
      <family val="2"/>
      <charset val="238"/>
    </font>
    <font>
      <b/>
      <sz val="10"/>
      <color indexed="10"/>
      <name val="Arial"/>
      <family val="2"/>
      <charset val="238"/>
    </font>
    <font>
      <b/>
      <sz val="12"/>
      <color indexed="10"/>
      <name val="Arial"/>
      <family val="2"/>
      <charset val="238"/>
    </font>
    <font>
      <b/>
      <sz val="12"/>
      <name val="Arial"/>
      <family val="2"/>
      <charset val="238"/>
    </font>
    <font>
      <b/>
      <sz val="11"/>
      <color indexed="10"/>
      <name val="Arial"/>
      <family val="2"/>
      <charset val="238"/>
    </font>
    <font>
      <sz val="10"/>
      <name val="Arial"/>
      <family val="2"/>
      <charset val="238"/>
    </font>
    <font>
      <sz val="10"/>
      <color indexed="9"/>
      <name val="Arial"/>
      <family val="2"/>
      <charset val="238"/>
    </font>
    <font>
      <sz val="9"/>
      <name val="Arial"/>
      <family val="2"/>
      <charset val="238"/>
    </font>
    <font>
      <b/>
      <sz val="10"/>
      <color indexed="9"/>
      <name val="Arial"/>
      <family val="2"/>
      <charset val="238"/>
    </font>
    <font>
      <b/>
      <sz val="14"/>
      <color indexed="12"/>
      <name val="Arial"/>
      <family val="2"/>
      <charset val="238"/>
    </font>
    <font>
      <sz val="14"/>
      <color indexed="10"/>
      <name val="Arial"/>
      <family val="2"/>
      <charset val="238"/>
    </font>
    <font>
      <sz val="12"/>
      <color indexed="16"/>
      <name val="Arial"/>
      <family val="2"/>
      <charset val="238"/>
    </font>
    <font>
      <sz val="13"/>
      <color indexed="11"/>
      <name val="Arial"/>
      <family val="2"/>
      <charset val="238"/>
    </font>
    <font>
      <sz val="10"/>
      <color theme="1"/>
      <name val="Arial1"/>
      <charset val="238"/>
    </font>
    <font>
      <b/>
      <sz val="11"/>
      <color rgb="FF002060"/>
      <name val="Arial"/>
      <family val="2"/>
      <charset val="238"/>
    </font>
    <font>
      <b/>
      <sz val="10"/>
      <color rgb="FF002060"/>
      <name val="Arial"/>
      <family val="2"/>
      <charset val="238"/>
    </font>
    <font>
      <sz val="11"/>
      <color theme="1"/>
      <name val="Calibri"/>
      <family val="2"/>
      <scheme val="minor"/>
    </font>
    <font>
      <sz val="10"/>
      <color rgb="FF92D050"/>
      <name val="Arial"/>
      <family val="2"/>
      <charset val="238"/>
    </font>
    <font>
      <b/>
      <sz val="14"/>
      <color rgb="FFFF0000"/>
      <name val="Arial"/>
      <family val="2"/>
      <charset val="238"/>
    </font>
    <font>
      <sz val="12"/>
      <color rgb="FF000000"/>
      <name val="Arial"/>
      <family val="2"/>
      <charset val="238"/>
    </font>
    <font>
      <b/>
      <sz val="11"/>
      <color rgb="FFFFFFFF"/>
      <name val="Arial"/>
      <family val="2"/>
      <charset val="238"/>
    </font>
    <font>
      <b/>
      <sz val="18"/>
      <color rgb="FF000000"/>
      <name val="Arial"/>
      <family val="2"/>
      <charset val="238"/>
    </font>
    <font>
      <b/>
      <sz val="16"/>
      <color rgb="FF000000"/>
      <name val="Arial"/>
      <family val="2"/>
      <charset val="238"/>
    </font>
    <font>
      <b/>
      <sz val="14"/>
      <color rgb="FF000000"/>
      <name val="Arial"/>
      <family val="2"/>
      <charset val="238"/>
    </font>
    <font>
      <sz val="10"/>
      <color theme="0"/>
      <name val="Arial"/>
      <family val="2"/>
      <charset val="238"/>
    </font>
    <font>
      <sz val="9"/>
      <color theme="0"/>
      <name val="Arial"/>
      <family val="2"/>
      <charset val="238"/>
    </font>
    <font>
      <sz val="14"/>
      <color theme="0"/>
      <name val="Arial"/>
      <family val="2"/>
      <charset val="238"/>
    </font>
    <font>
      <sz val="13"/>
      <color theme="0"/>
      <name val="Arial"/>
      <family val="2"/>
      <charset val="238"/>
    </font>
    <font>
      <sz val="12"/>
      <color theme="0"/>
      <name val="Arial"/>
      <family val="2"/>
      <charset val="238"/>
    </font>
    <font>
      <b/>
      <sz val="12"/>
      <color rgb="FFFF0000"/>
      <name val="Arial Black"/>
      <family val="2"/>
      <charset val="238"/>
    </font>
  </fonts>
  <fills count="21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52"/>
        <bgColor indexed="64"/>
      </patternFill>
    </fill>
    <fill>
      <patternFill patternType="lightDown">
        <fgColor indexed="46"/>
        <bgColor indexed="42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FFD700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CD7F32"/>
        <bgColor indexed="64"/>
      </patternFill>
    </fill>
    <fill>
      <patternFill patternType="solid">
        <fgColor rgb="FF66FFCC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505050"/>
      </left>
      <right style="thin">
        <color rgb="FF505050"/>
      </right>
      <top style="thin">
        <color rgb="FF505050"/>
      </top>
      <bottom style="thin">
        <color rgb="FF505050"/>
      </bottom>
      <diagonal/>
    </border>
  </borders>
  <cellStyleXfs count="4">
    <xf numFmtId="0" fontId="0" fillId="0" borderId="0"/>
    <xf numFmtId="0" fontId="7" fillId="0" borderId="0"/>
    <xf numFmtId="164" fontId="15" fillId="0" borderId="0"/>
    <xf numFmtId="0" fontId="18" fillId="0" borderId="0"/>
  </cellStyleXfs>
  <cellXfs count="129">
    <xf numFmtId="0" fontId="0" fillId="0" borderId="0" xfId="0"/>
    <xf numFmtId="0" fontId="1" fillId="0" borderId="1" xfId="0" applyFont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0" borderId="0" xfId="0" applyFont="1"/>
    <xf numFmtId="0" fontId="3" fillId="0" borderId="0" xfId="0" applyFont="1"/>
    <xf numFmtId="0" fontId="5" fillId="0" borderId="0" xfId="0" applyFont="1"/>
    <xf numFmtId="0" fontId="6" fillId="0" borderId="0" xfId="0" applyFont="1"/>
    <xf numFmtId="0" fontId="1" fillId="0" borderId="4" xfId="0" applyFont="1" applyBorder="1" applyAlignment="1">
      <alignment horizontal="center"/>
    </xf>
    <xf numFmtId="0" fontId="0" fillId="0" borderId="0" xfId="0" applyProtection="1">
      <protection locked="0"/>
    </xf>
    <xf numFmtId="0" fontId="1" fillId="0" borderId="0" xfId="0" applyFont="1" applyProtection="1">
      <protection locked="0"/>
    </xf>
    <xf numFmtId="0" fontId="7" fillId="0" borderId="0" xfId="0" applyFont="1" applyProtection="1">
      <protection locked="0"/>
    </xf>
    <xf numFmtId="0" fontId="1" fillId="2" borderId="11" xfId="0" applyFont="1" applyFill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1" fillId="2" borderId="14" xfId="0" applyFont="1" applyFill="1" applyBorder="1" applyAlignment="1">
      <alignment horizontal="center"/>
    </xf>
    <xf numFmtId="0" fontId="0" fillId="0" borderId="18" xfId="0" applyBorder="1"/>
    <xf numFmtId="0" fontId="1" fillId="0" borderId="17" xfId="0" applyFont="1" applyBorder="1" applyAlignment="1">
      <alignment horizontal="center"/>
    </xf>
    <xf numFmtId="0" fontId="4" fillId="4" borderId="19" xfId="0" applyFont="1" applyFill="1" applyBorder="1" applyAlignment="1">
      <alignment horizontal="center"/>
    </xf>
    <xf numFmtId="0" fontId="10" fillId="0" borderId="0" xfId="0" applyFont="1" applyAlignment="1">
      <alignment wrapText="1"/>
    </xf>
    <xf numFmtId="0" fontId="8" fillId="0" borderId="0" xfId="0" applyFont="1" applyAlignment="1" applyProtection="1">
      <alignment horizontal="center"/>
      <protection locked="0"/>
    </xf>
    <xf numFmtId="0" fontId="0" fillId="0" borderId="3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7" fillId="0" borderId="0" xfId="0" applyFont="1" applyAlignment="1" applyProtection="1">
      <alignment horizontal="center"/>
      <protection locked="0"/>
    </xf>
    <xf numFmtId="0" fontId="12" fillId="0" borderId="0" xfId="0" applyFont="1" applyProtection="1">
      <protection locked="0"/>
    </xf>
    <xf numFmtId="0" fontId="13" fillId="0" borderId="0" xfId="0" applyFont="1" applyProtection="1">
      <protection locked="0"/>
    </xf>
    <xf numFmtId="0" fontId="14" fillId="0" borderId="0" xfId="0" applyFont="1" applyProtection="1">
      <protection locked="0"/>
    </xf>
    <xf numFmtId="0" fontId="8" fillId="0" borderId="0" xfId="0" applyFont="1" applyProtection="1">
      <protection locked="0"/>
    </xf>
    <xf numFmtId="0" fontId="1" fillId="7" borderId="27" xfId="0" applyFont="1" applyFill="1" applyBorder="1"/>
    <xf numFmtId="0" fontId="1" fillId="7" borderId="1" xfId="0" applyFont="1" applyFill="1" applyBorder="1"/>
    <xf numFmtId="0" fontId="1" fillId="9" borderId="3" xfId="0" applyFont="1" applyFill="1" applyBorder="1"/>
    <xf numFmtId="0" fontId="1" fillId="9" borderId="1" xfId="0" applyFont="1" applyFill="1" applyBorder="1"/>
    <xf numFmtId="0" fontId="1" fillId="9" borderId="5" xfId="0" applyFont="1" applyFill="1" applyBorder="1"/>
    <xf numFmtId="0" fontId="1" fillId="9" borderId="4" xfId="0" applyFont="1" applyFill="1" applyBorder="1"/>
    <xf numFmtId="0" fontId="1" fillId="9" borderId="16" xfId="0" applyFont="1" applyFill="1" applyBorder="1"/>
    <xf numFmtId="0" fontId="1" fillId="9" borderId="17" xfId="0" applyFont="1" applyFill="1" applyBorder="1"/>
    <xf numFmtId="0" fontId="1" fillId="10" borderId="27" xfId="0" applyFont="1" applyFill="1" applyBorder="1"/>
    <xf numFmtId="0" fontId="1" fillId="10" borderId="1" xfId="0" applyFont="1" applyFill="1" applyBorder="1"/>
    <xf numFmtId="0" fontId="7" fillId="0" borderId="0" xfId="0" applyFont="1"/>
    <xf numFmtId="0" fontId="16" fillId="2" borderId="1" xfId="0" applyFont="1" applyFill="1" applyBorder="1" applyAlignment="1" applyProtection="1">
      <alignment horizontal="center"/>
      <protection locked="0"/>
    </xf>
    <xf numFmtId="0" fontId="17" fillId="0" borderId="1" xfId="0" applyFont="1" applyBorder="1" applyAlignment="1">
      <alignment horizontal="center"/>
    </xf>
    <xf numFmtId="0" fontId="0" fillId="8" borderId="0" xfId="0" applyFill="1"/>
    <xf numFmtId="0" fontId="0" fillId="8" borderId="9" xfId="0" applyFill="1" applyBorder="1"/>
    <xf numFmtId="0" fontId="0" fillId="8" borderId="18" xfId="0" applyFill="1" applyBorder="1"/>
    <xf numFmtId="0" fontId="1" fillId="8" borderId="10" xfId="0" applyFont="1" applyFill="1" applyBorder="1"/>
    <xf numFmtId="0" fontId="1" fillId="8" borderId="7" xfId="0" applyFont="1" applyFill="1" applyBorder="1"/>
    <xf numFmtId="0" fontId="1" fillId="8" borderId="7" xfId="0" applyFont="1" applyFill="1" applyBorder="1" applyAlignment="1" applyProtection="1">
      <alignment horizontal="center"/>
      <protection locked="0"/>
    </xf>
    <xf numFmtId="0" fontId="1" fillId="8" borderId="7" xfId="0" applyFont="1" applyFill="1" applyBorder="1" applyAlignment="1">
      <alignment horizontal="center"/>
    </xf>
    <xf numFmtId="0" fontId="1" fillId="8" borderId="8" xfId="0" applyFont="1" applyFill="1" applyBorder="1" applyAlignment="1">
      <alignment horizontal="center"/>
    </xf>
    <xf numFmtId="0" fontId="0" fillId="8" borderId="10" xfId="0" applyFill="1" applyBorder="1" applyAlignment="1">
      <alignment horizontal="center"/>
    </xf>
    <xf numFmtId="0" fontId="0" fillId="8" borderId="7" xfId="0" applyFill="1" applyBorder="1" applyAlignment="1">
      <alignment horizontal="center"/>
    </xf>
    <xf numFmtId="0" fontId="1" fillId="8" borderId="6" xfId="0" applyFont="1" applyFill="1" applyBorder="1"/>
    <xf numFmtId="0" fontId="7" fillId="11" borderId="1" xfId="0" applyFont="1" applyFill="1" applyBorder="1" applyAlignment="1">
      <alignment horizontal="center"/>
    </xf>
    <xf numFmtId="0" fontId="7" fillId="11" borderId="2" xfId="0" applyFont="1" applyFill="1" applyBorder="1" applyAlignment="1">
      <alignment horizontal="center"/>
    </xf>
    <xf numFmtId="0" fontId="7" fillId="8" borderId="7" xfId="0" applyFont="1" applyFill="1" applyBorder="1" applyAlignment="1">
      <alignment horizontal="center"/>
    </xf>
    <xf numFmtId="0" fontId="7" fillId="8" borderId="8" xfId="0" applyFont="1" applyFill="1" applyBorder="1" applyAlignment="1">
      <alignment horizontal="center"/>
    </xf>
    <xf numFmtId="0" fontId="7" fillId="0" borderId="0" xfId="0" applyFont="1" applyAlignment="1">
      <alignment horizontal="center"/>
    </xf>
    <xf numFmtId="0" fontId="8" fillId="0" borderId="0" xfId="0" applyFont="1" applyAlignment="1">
      <alignment horizontal="center"/>
    </xf>
    <xf numFmtId="0" fontId="7" fillId="10" borderId="7" xfId="0" applyFont="1" applyFill="1" applyBorder="1" applyAlignment="1">
      <alignment horizontal="center"/>
    </xf>
    <xf numFmtId="0" fontId="7" fillId="10" borderId="8" xfId="0" applyFont="1" applyFill="1" applyBorder="1" applyAlignment="1">
      <alignment horizontal="center"/>
    </xf>
    <xf numFmtId="0" fontId="7" fillId="11" borderId="13" xfId="0" applyFont="1" applyFill="1" applyBorder="1" applyAlignment="1">
      <alignment horizontal="center"/>
    </xf>
    <xf numFmtId="0" fontId="7" fillId="11" borderId="14" xfId="0" applyFont="1" applyFill="1" applyBorder="1" applyAlignment="1">
      <alignment horizontal="center"/>
    </xf>
    <xf numFmtId="0" fontId="7" fillId="11" borderId="4" xfId="0" applyFont="1" applyFill="1" applyBorder="1" applyAlignment="1">
      <alignment horizontal="center"/>
    </xf>
    <xf numFmtId="0" fontId="7" fillId="11" borderId="11" xfId="0" applyFont="1" applyFill="1" applyBorder="1" applyAlignment="1">
      <alignment horizontal="center"/>
    </xf>
    <xf numFmtId="0" fontId="7" fillId="11" borderId="17" xfId="0" applyFont="1" applyFill="1" applyBorder="1" applyAlignment="1">
      <alignment horizontal="center"/>
    </xf>
    <xf numFmtId="0" fontId="7" fillId="11" borderId="28" xfId="0" applyFont="1" applyFill="1" applyBorder="1" applyAlignment="1">
      <alignment horizontal="center"/>
    </xf>
    <xf numFmtId="22" fontId="0" fillId="0" borderId="0" xfId="0" applyNumberFormat="1"/>
    <xf numFmtId="22" fontId="1" fillId="0" borderId="1" xfId="0" applyNumberFormat="1" applyFont="1" applyBorder="1" applyAlignment="1">
      <alignment horizontal="center" vertical="center"/>
    </xf>
    <xf numFmtId="22" fontId="1" fillId="8" borderId="15" xfId="0" applyNumberFormat="1" applyFont="1" applyFill="1" applyBorder="1" applyAlignment="1">
      <alignment horizontal="center" vertical="center" wrapText="1"/>
    </xf>
    <xf numFmtId="22" fontId="0" fillId="0" borderId="0" xfId="0" applyNumberFormat="1" applyProtection="1">
      <protection locked="0"/>
    </xf>
    <xf numFmtId="0" fontId="7" fillId="11" borderId="1" xfId="0" applyFont="1" applyFill="1" applyBorder="1" applyAlignment="1" applyProtection="1">
      <alignment horizontal="center"/>
      <protection locked="0"/>
    </xf>
    <xf numFmtId="0" fontId="7" fillId="8" borderId="7" xfId="0" applyFont="1" applyFill="1" applyBorder="1" applyAlignment="1" applyProtection="1">
      <alignment horizontal="center"/>
      <protection locked="0"/>
    </xf>
    <xf numFmtId="0" fontId="7" fillId="11" borderId="2" xfId="0" applyFont="1" applyFill="1" applyBorder="1" applyAlignment="1" applyProtection="1">
      <alignment horizontal="center"/>
      <protection locked="0"/>
    </xf>
    <xf numFmtId="0" fontId="7" fillId="8" borderId="8" xfId="0" applyFont="1" applyFill="1" applyBorder="1" applyAlignment="1" applyProtection="1">
      <alignment horizontal="center"/>
      <protection locked="0"/>
    </xf>
    <xf numFmtId="0" fontId="19" fillId="8" borderId="0" xfId="0" applyFont="1" applyFill="1"/>
    <xf numFmtId="0" fontId="20" fillId="0" borderId="0" xfId="0" applyFont="1" applyAlignment="1">
      <alignment horizontal="center" vertical="center"/>
    </xf>
    <xf numFmtId="0" fontId="0" fillId="0" borderId="29" xfId="0" applyBorder="1"/>
    <xf numFmtId="0" fontId="9" fillId="0" borderId="0" xfId="0" applyFont="1" applyAlignment="1">
      <alignment wrapText="1"/>
    </xf>
    <xf numFmtId="0" fontId="23" fillId="14" borderId="30" xfId="0" applyFont="1" applyFill="1" applyBorder="1" applyAlignment="1">
      <alignment horizontal="center" vertical="center"/>
    </xf>
    <xf numFmtId="0" fontId="23" fillId="14" borderId="30" xfId="0" applyFont="1" applyFill="1" applyBorder="1" applyAlignment="1" applyProtection="1">
      <alignment vertical="center"/>
      <protection locked="0"/>
    </xf>
    <xf numFmtId="1" fontId="23" fillId="14" borderId="30" xfId="0" applyNumberFormat="1" applyFont="1" applyFill="1" applyBorder="1" applyAlignment="1" applyProtection="1">
      <alignment horizontal="center" vertical="center"/>
      <protection locked="0"/>
    </xf>
    <xf numFmtId="0" fontId="24" fillId="15" borderId="30" xfId="0" applyFont="1" applyFill="1" applyBorder="1" applyAlignment="1" applyProtection="1">
      <alignment horizontal="center" vertical="center"/>
      <protection locked="0"/>
    </xf>
    <xf numFmtId="0" fontId="24" fillId="15" borderId="30" xfId="0" applyFont="1" applyFill="1" applyBorder="1" applyAlignment="1" applyProtection="1">
      <alignment vertical="center"/>
      <protection locked="0"/>
    </xf>
    <xf numFmtId="1" fontId="24" fillId="15" borderId="30" xfId="0" applyNumberFormat="1" applyFont="1" applyFill="1" applyBorder="1" applyAlignment="1" applyProtection="1">
      <alignment horizontal="center" vertical="center"/>
      <protection locked="0"/>
    </xf>
    <xf numFmtId="0" fontId="25" fillId="16" borderId="30" xfId="0" applyFont="1" applyFill="1" applyBorder="1" applyAlignment="1" applyProtection="1">
      <alignment horizontal="center" vertical="center"/>
      <protection locked="0"/>
    </xf>
    <xf numFmtId="0" fontId="25" fillId="16" borderId="30" xfId="0" applyFont="1" applyFill="1" applyBorder="1" applyAlignment="1" applyProtection="1">
      <alignment vertical="center"/>
      <protection locked="0"/>
    </xf>
    <xf numFmtId="1" fontId="25" fillId="16" borderId="30" xfId="0" applyNumberFormat="1" applyFont="1" applyFill="1" applyBorder="1" applyAlignment="1" applyProtection="1">
      <alignment horizontal="center" vertical="center"/>
      <protection locked="0"/>
    </xf>
    <xf numFmtId="0" fontId="21" fillId="12" borderId="30" xfId="0" applyFont="1" applyFill="1" applyBorder="1" applyAlignment="1" applyProtection="1">
      <alignment horizontal="center" vertical="center"/>
      <protection locked="0"/>
    </xf>
    <xf numFmtId="0" fontId="21" fillId="12" borderId="30" xfId="0" applyFont="1" applyFill="1" applyBorder="1" applyAlignment="1" applyProtection="1">
      <alignment vertical="center"/>
      <protection locked="0"/>
    </xf>
    <xf numFmtId="1" fontId="21" fillId="12" borderId="30" xfId="0" applyNumberFormat="1" applyFont="1" applyFill="1" applyBorder="1" applyAlignment="1" applyProtection="1">
      <alignment horizontal="center" vertical="center"/>
      <protection locked="0"/>
    </xf>
    <xf numFmtId="0" fontId="22" fillId="13" borderId="30" xfId="0" applyFont="1" applyFill="1" applyBorder="1" applyAlignment="1">
      <alignment vertical="center"/>
    </xf>
    <xf numFmtId="0" fontId="22" fillId="13" borderId="30" xfId="0" applyFont="1" applyFill="1" applyBorder="1" applyAlignment="1" applyProtection="1">
      <alignment vertical="center"/>
      <protection locked="0"/>
    </xf>
    <xf numFmtId="0" fontId="22" fillId="13" borderId="30" xfId="0" applyFont="1" applyFill="1" applyBorder="1" applyAlignment="1">
      <alignment vertical="center" wrapText="1"/>
    </xf>
    <xf numFmtId="0" fontId="26" fillId="0" borderId="0" xfId="0" applyFont="1"/>
    <xf numFmtId="0" fontId="26" fillId="8" borderId="9" xfId="0" applyFont="1" applyFill="1" applyBorder="1"/>
    <xf numFmtId="0" fontId="26" fillId="0" borderId="18" xfId="0" applyFont="1" applyBorder="1"/>
    <xf numFmtId="0" fontId="27" fillId="0" borderId="0" xfId="0" applyFont="1" applyAlignment="1">
      <alignment wrapText="1"/>
    </xf>
    <xf numFmtId="0" fontId="28" fillId="0" borderId="0" xfId="0" applyFont="1" applyProtection="1">
      <protection locked="0"/>
    </xf>
    <xf numFmtId="0" fontId="29" fillId="0" borderId="0" xfId="0" applyFont="1" applyProtection="1">
      <protection locked="0"/>
    </xf>
    <xf numFmtId="0" fontId="30" fillId="0" borderId="0" xfId="0" applyFont="1" applyProtection="1">
      <protection locked="0"/>
    </xf>
    <xf numFmtId="0" fontId="26" fillId="0" borderId="0" xfId="0" applyFont="1" applyProtection="1">
      <protection locked="0"/>
    </xf>
    <xf numFmtId="0" fontId="31" fillId="0" borderId="0" xfId="0" applyFont="1"/>
    <xf numFmtId="0" fontId="0" fillId="20" borderId="0" xfId="0" applyFill="1"/>
    <xf numFmtId="0" fontId="0" fillId="7" borderId="1" xfId="0" applyFill="1" applyBorder="1"/>
    <xf numFmtId="0" fontId="0" fillId="17" borderId="1" xfId="0" applyFill="1" applyBorder="1"/>
    <xf numFmtId="0" fontId="0" fillId="18" borderId="1" xfId="0" applyFill="1" applyBorder="1"/>
    <xf numFmtId="0" fontId="0" fillId="19" borderId="1" xfId="0" applyFill="1" applyBorder="1"/>
    <xf numFmtId="0" fontId="7" fillId="0" borderId="0" xfId="0" applyFont="1" applyAlignment="1">
      <alignment horizontal="center" vertical="center"/>
    </xf>
    <xf numFmtId="0" fontId="16" fillId="2" borderId="1" xfId="0" quotePrefix="1" applyFont="1" applyFill="1" applyBorder="1" applyAlignment="1" applyProtection="1">
      <alignment horizontal="center"/>
      <protection locked="0"/>
    </xf>
    <xf numFmtId="0" fontId="21" fillId="12" borderId="0" xfId="0" applyFont="1" applyFill="1" applyAlignment="1" applyProtection="1">
      <alignment horizontal="center"/>
      <protection locked="0"/>
    </xf>
    <xf numFmtId="0" fontId="21" fillId="12" borderId="0" xfId="0" applyFont="1" applyFill="1" applyProtection="1">
      <protection locked="0"/>
    </xf>
    <xf numFmtId="0" fontId="21" fillId="12" borderId="0" xfId="0" applyFont="1" applyFill="1"/>
    <xf numFmtId="0" fontId="21" fillId="12" borderId="0" xfId="0" applyFont="1" applyFill="1" applyAlignment="1" applyProtection="1">
      <alignment horizontal="center" vertical="center"/>
      <protection locked="0"/>
    </xf>
    <xf numFmtId="0" fontId="21" fillId="12" borderId="0" xfId="0" applyFont="1" applyFill="1" applyAlignment="1" applyProtection="1">
      <alignment vertical="center"/>
      <protection locked="0"/>
    </xf>
    <xf numFmtId="1" fontId="21" fillId="12" borderId="0" xfId="0" applyNumberFormat="1" applyFont="1" applyFill="1" applyAlignment="1" applyProtection="1">
      <alignment horizontal="center" vertical="center"/>
      <protection locked="0"/>
    </xf>
    <xf numFmtId="0" fontId="1" fillId="5" borderId="20" xfId="0" applyFont="1" applyFill="1" applyBorder="1" applyAlignment="1">
      <alignment wrapText="1"/>
    </xf>
    <xf numFmtId="0" fontId="1" fillId="5" borderId="21" xfId="0" applyFont="1" applyFill="1" applyBorder="1" applyAlignment="1">
      <alignment wrapText="1"/>
    </xf>
    <xf numFmtId="0" fontId="1" fillId="5" borderId="22" xfId="0" applyFont="1" applyFill="1" applyBorder="1" applyAlignment="1">
      <alignment wrapText="1"/>
    </xf>
    <xf numFmtId="0" fontId="11" fillId="6" borderId="15" xfId="0" applyFont="1" applyFill="1" applyBorder="1" applyAlignment="1" applyProtection="1">
      <alignment horizontal="center" vertical="center" wrapText="1"/>
      <protection locked="0"/>
    </xf>
    <xf numFmtId="0" fontId="11" fillId="6" borderId="26" xfId="0" applyFont="1" applyFill="1" applyBorder="1" applyAlignment="1" applyProtection="1">
      <alignment horizontal="center" vertical="center" wrapText="1"/>
      <protection locked="0"/>
    </xf>
    <xf numFmtId="0" fontId="1" fillId="3" borderId="23" xfId="0" applyFont="1" applyFill="1" applyBorder="1" applyAlignment="1">
      <alignment horizontal="center" vertical="center" wrapText="1"/>
    </xf>
    <xf numFmtId="0" fontId="1" fillId="3" borderId="24" xfId="0" applyFont="1" applyFill="1" applyBorder="1" applyAlignment="1">
      <alignment horizontal="center" vertical="center" wrapText="1"/>
    </xf>
    <xf numFmtId="0" fontId="1" fillId="3" borderId="25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</cellXfs>
  <cellStyles count="4">
    <cellStyle name="Excel Built-in Normal" xfId="2" xr:uid="{00000000-0005-0000-0000-000000000000}"/>
    <cellStyle name="Normalny" xfId="0" builtinId="0"/>
    <cellStyle name="Normalny 2" xfId="1" xr:uid="{00000000-0005-0000-0000-000002000000}"/>
    <cellStyle name="Normalny 3" xfId="3" xr:uid="{00000000-0005-0000-0000-000003000000}"/>
  </cellStyles>
  <dxfs count="23">
    <dxf>
      <numFmt numFmtId="27" formatCode="dd/mm/yyyy\ hh:mm"/>
    </dxf>
    <dxf>
      <font>
        <strike val="0"/>
        <color indexed="9"/>
      </font>
    </dxf>
    <dxf>
      <font>
        <strike val="0"/>
        <color indexed="9"/>
      </font>
    </dxf>
    <dxf>
      <font>
        <strike val="0"/>
        <color indexed="9"/>
      </font>
    </dxf>
    <dxf>
      <font>
        <strike val="0"/>
        <color indexed="9"/>
      </font>
    </dxf>
    <dxf>
      <font>
        <b/>
        <i val="0"/>
        <condense val="0"/>
        <extend val="0"/>
        <color indexed="10"/>
      </font>
      <fill>
        <patternFill>
          <bgColor rgb="FFB6F87A"/>
        </patternFill>
      </fill>
    </dxf>
    <dxf>
      <font>
        <strike val="0"/>
        <condense val="0"/>
        <extend val="0"/>
        <color indexed="9"/>
      </font>
    </dxf>
    <dxf>
      <font>
        <strike val="0"/>
        <color indexed="9"/>
      </font>
    </dxf>
    <dxf>
      <font>
        <strike val="0"/>
        <color indexed="9"/>
      </font>
    </dxf>
    <dxf>
      <font>
        <strike val="0"/>
        <color indexed="9"/>
      </font>
    </dxf>
    <dxf>
      <font>
        <strike val="0"/>
        <color indexed="9"/>
      </font>
    </dxf>
    <dxf>
      <font>
        <b/>
        <i val="0"/>
        <condense val="0"/>
        <extend val="0"/>
        <color indexed="10"/>
      </font>
      <fill>
        <patternFill>
          <bgColor rgb="FFB6F87A"/>
        </patternFill>
      </fill>
    </dxf>
    <dxf>
      <font>
        <strike val="0"/>
        <condense val="0"/>
        <extend val="0"/>
        <color indexed="9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</dxfs>
  <tableStyles count="0" defaultTableStyle="TableStyleMedium2" defaultPivotStyle="PivotStyleLight16"/>
  <colors>
    <mruColors>
      <color rgb="FF66FFCC"/>
      <color rgb="FFB6F87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1120140</xdr:colOff>
      <xdr:row>39</xdr:row>
      <xdr:rowOff>60960</xdr:rowOff>
    </xdr:from>
    <xdr:to>
      <xdr:col>2</xdr:col>
      <xdr:colOff>784860</xdr:colOff>
      <xdr:row>40</xdr:row>
      <xdr:rowOff>114300</xdr:rowOff>
    </xdr:to>
    <xdr:sp macro="[0]!Aktualizuj_Ranking_Faz_Puchar" textlink="">
      <xdr:nvSpPr>
        <xdr:cNvPr id="2" name="Schemat blokowy: proces alternatywny 1">
          <a:extLst>
            <a:ext uri="{FF2B5EF4-FFF2-40B4-BE49-F238E27FC236}">
              <a16:creationId xmlns:a16="http://schemas.microsoft.com/office/drawing/2014/main" id="{3E74BE1F-7323-41C4-8DEF-03F38A7C71A1}"/>
            </a:ext>
          </a:extLst>
        </xdr:cNvPr>
        <xdr:cNvSpPr/>
      </xdr:nvSpPr>
      <xdr:spPr>
        <a:xfrm>
          <a:off x="1120140" y="5029200"/>
          <a:ext cx="1889760" cy="259080"/>
        </a:xfrm>
        <a:prstGeom prst="flowChartAlternateProcess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l-PL" sz="1100"/>
            <a:t>AKTUALIZUJ PUNKTY</a:t>
          </a:r>
        </a:p>
      </xdr:txBody>
    </xdr:sp>
    <xdr:clientData/>
  </xdr:twoCellAnchor>
  <xdr:twoCellAnchor>
    <xdr:from>
      <xdr:col>2</xdr:col>
      <xdr:colOff>144780</xdr:colOff>
      <xdr:row>0</xdr:row>
      <xdr:rowOff>30480</xdr:rowOff>
    </xdr:from>
    <xdr:to>
      <xdr:col>7</xdr:col>
      <xdr:colOff>510540</xdr:colOff>
      <xdr:row>0</xdr:row>
      <xdr:rowOff>304800</xdr:rowOff>
    </xdr:to>
    <xdr:sp macro="[0]!Odswiez_I_Importuj_Wyniki_Faz_Puchar" textlink="">
      <xdr:nvSpPr>
        <xdr:cNvPr id="5" name="Schemat blokowy: proces alternatywny 4">
          <a:extLst>
            <a:ext uri="{FF2B5EF4-FFF2-40B4-BE49-F238E27FC236}">
              <a16:creationId xmlns:a16="http://schemas.microsoft.com/office/drawing/2014/main" id="{34DF0B4A-DE13-8957-10E4-2F74EDD8BCE4}"/>
            </a:ext>
          </a:extLst>
        </xdr:cNvPr>
        <xdr:cNvSpPr/>
      </xdr:nvSpPr>
      <xdr:spPr>
        <a:xfrm>
          <a:off x="2369820" y="30480"/>
          <a:ext cx="2956560" cy="274320"/>
        </a:xfrm>
        <a:prstGeom prst="flowChartAlternateProcess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l-PL" sz="1100"/>
            <a:t>WSTAW WYNIKI MECZÓW FAZY PUCHAROWEJ</a:t>
          </a:r>
        </a:p>
      </xdr:txBody>
    </xdr:sp>
    <xdr:clientData/>
  </xdr:twoCellAnchor>
  <xdr:twoCellAnchor>
    <xdr:from>
      <xdr:col>0</xdr:col>
      <xdr:colOff>152400</xdr:colOff>
      <xdr:row>0</xdr:row>
      <xdr:rowOff>38100</xdr:rowOff>
    </xdr:from>
    <xdr:to>
      <xdr:col>1</xdr:col>
      <xdr:colOff>937260</xdr:colOff>
      <xdr:row>0</xdr:row>
      <xdr:rowOff>342900</xdr:rowOff>
    </xdr:to>
    <xdr:sp macro="[0]!Pobierz_Aktualny" textlink="">
      <xdr:nvSpPr>
        <xdr:cNvPr id="6" name="Schemat blokowy: proces alternatywny 5">
          <a:extLst>
            <a:ext uri="{FF2B5EF4-FFF2-40B4-BE49-F238E27FC236}">
              <a16:creationId xmlns:a16="http://schemas.microsoft.com/office/drawing/2014/main" id="{D1E0AC13-69E0-0CA2-E6E2-2DB837D6C424}"/>
            </a:ext>
          </a:extLst>
        </xdr:cNvPr>
        <xdr:cNvSpPr/>
      </xdr:nvSpPr>
      <xdr:spPr>
        <a:xfrm>
          <a:off x="152400" y="38100"/>
          <a:ext cx="1927860" cy="304800"/>
        </a:xfrm>
        <a:prstGeom prst="flowChartAlternateProcess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l-PL" sz="1100"/>
            <a:t>SPRAWDŻ</a:t>
          </a:r>
          <a:r>
            <a:rPr lang="pl-PL" sz="1100" baseline="0"/>
            <a:t> AKTUAL. PLIKU</a:t>
          </a:r>
          <a:endParaRPr lang="pl-PL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1120140</xdr:colOff>
      <xdr:row>76</xdr:row>
      <xdr:rowOff>60960</xdr:rowOff>
    </xdr:from>
    <xdr:to>
      <xdr:col>2</xdr:col>
      <xdr:colOff>784860</xdr:colOff>
      <xdr:row>77</xdr:row>
      <xdr:rowOff>114300</xdr:rowOff>
    </xdr:to>
    <xdr:sp macro="[0]!Aktualizuj_Ranking_Obstawien" textlink="">
      <xdr:nvSpPr>
        <xdr:cNvPr id="2" name="Schemat blokowy: proces alternatywny 1">
          <a:extLst>
            <a:ext uri="{FF2B5EF4-FFF2-40B4-BE49-F238E27FC236}">
              <a16:creationId xmlns:a16="http://schemas.microsoft.com/office/drawing/2014/main" id="{72DE96CE-F520-6DA2-98DD-D1DDF0B6B324}"/>
            </a:ext>
          </a:extLst>
        </xdr:cNvPr>
        <xdr:cNvSpPr/>
      </xdr:nvSpPr>
      <xdr:spPr>
        <a:xfrm>
          <a:off x="1120140" y="13167360"/>
          <a:ext cx="1546860" cy="259080"/>
        </a:xfrm>
        <a:prstGeom prst="flowChartAlternateProcess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l-PL" sz="1100"/>
            <a:t>AKTUALIZUJ PUNKTY</a:t>
          </a:r>
        </a:p>
      </xdr:txBody>
    </xdr:sp>
    <xdr:clientData/>
  </xdr:twoCellAnchor>
  <xdr:twoCellAnchor>
    <xdr:from>
      <xdr:col>1</xdr:col>
      <xdr:colOff>22860</xdr:colOff>
      <xdr:row>0</xdr:row>
      <xdr:rowOff>45720</xdr:rowOff>
    </xdr:from>
    <xdr:to>
      <xdr:col>2</xdr:col>
      <xdr:colOff>1082040</xdr:colOff>
      <xdr:row>0</xdr:row>
      <xdr:rowOff>304800</xdr:rowOff>
    </xdr:to>
    <xdr:sp macro="[0]!Pobierz_Aktualny" textlink="">
      <xdr:nvSpPr>
        <xdr:cNvPr id="3" name="Schemat blokowy: proces alternatywny 2">
          <a:extLst>
            <a:ext uri="{FF2B5EF4-FFF2-40B4-BE49-F238E27FC236}">
              <a16:creationId xmlns:a16="http://schemas.microsoft.com/office/drawing/2014/main" id="{3DADB2E0-03E2-AC10-14B0-F985CF68FE1D}"/>
            </a:ext>
          </a:extLst>
        </xdr:cNvPr>
        <xdr:cNvSpPr/>
      </xdr:nvSpPr>
      <xdr:spPr>
        <a:xfrm>
          <a:off x="1165860" y="45720"/>
          <a:ext cx="2141220" cy="259080"/>
        </a:xfrm>
        <a:prstGeom prst="flowChartAlternateProcess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l-PL" sz="1100"/>
            <a:t>SPRAWDŹ</a:t>
          </a:r>
          <a:r>
            <a:rPr lang="pl-PL" sz="1100" baseline="0"/>
            <a:t> AKTUALIZACJĘ PLIKU</a:t>
          </a:r>
          <a:endParaRPr lang="pl-PL" sz="1100"/>
        </a:p>
      </xdr:txBody>
    </xdr:sp>
    <xdr:clientData/>
  </xdr:twoCellAnchor>
  <xdr:twoCellAnchor>
    <xdr:from>
      <xdr:col>3</xdr:col>
      <xdr:colOff>137160</xdr:colOff>
      <xdr:row>0</xdr:row>
      <xdr:rowOff>68580</xdr:rowOff>
    </xdr:from>
    <xdr:to>
      <xdr:col>7</xdr:col>
      <xdr:colOff>129540</xdr:colOff>
      <xdr:row>0</xdr:row>
      <xdr:rowOff>327660</xdr:rowOff>
    </xdr:to>
    <xdr:sp macro="[0]!Odswiez_I_Importuj_Wyniki_2026" textlink="">
      <xdr:nvSpPr>
        <xdr:cNvPr id="4" name="Schemat blokowy: proces alternatywny 3">
          <a:extLst>
            <a:ext uri="{FF2B5EF4-FFF2-40B4-BE49-F238E27FC236}">
              <a16:creationId xmlns:a16="http://schemas.microsoft.com/office/drawing/2014/main" id="{B1A0C125-9F1A-6047-A179-6C54479BF11D}"/>
            </a:ext>
          </a:extLst>
        </xdr:cNvPr>
        <xdr:cNvSpPr/>
      </xdr:nvSpPr>
      <xdr:spPr>
        <a:xfrm>
          <a:off x="3787140" y="68580"/>
          <a:ext cx="1158240" cy="259080"/>
        </a:xfrm>
        <a:prstGeom prst="flowChartAlternateProcess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l-PL" sz="1100"/>
            <a:t>WSTAW WYNIKI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137160</xdr:colOff>
      <xdr:row>0</xdr:row>
      <xdr:rowOff>137160</xdr:rowOff>
    </xdr:from>
    <xdr:to>
      <xdr:col>12</xdr:col>
      <xdr:colOff>701040</xdr:colOff>
      <xdr:row>3</xdr:row>
      <xdr:rowOff>129540</xdr:rowOff>
    </xdr:to>
    <xdr:pic macro="[0]!Odswiez_Tabele_Grup">
      <xdr:nvPicPr>
        <xdr:cNvPr id="3" name="Grafika 2" descr="Powtarzanie">
          <a:extLst>
            <a:ext uri="{FF2B5EF4-FFF2-40B4-BE49-F238E27FC236}">
              <a16:creationId xmlns:a16="http://schemas.microsoft.com/office/drawing/2014/main" id="{CE5215F5-0FC8-2C95-2552-7ABDF8DD66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884920" y="137160"/>
          <a:ext cx="563880" cy="563880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4" xr16:uid="{F59C3534-6D27-4382-9E76-0600A2B2299A}" autoFormatId="16" applyNumberFormats="0" applyBorderFormats="0" applyFontFormats="0" applyPatternFormats="0" applyAlignmentFormats="0" applyWidthHeightFormats="0">
  <queryTableRefresh nextId="12">
    <queryTableFields count="11">
      <queryTableField id="1" name="Grupa" tableColumnId="1"/>
      <queryTableField id="2" name="Miejsce" tableColumnId="2"/>
      <queryTableField id="3" name="Drużyna" tableColumnId="3"/>
      <queryTableField id="4" name="Mecze" tableColumnId="4"/>
      <queryTableField id="5" name="Zwycięstwa" tableColumnId="5"/>
      <queryTableField id="6" name="Remisy" tableColumnId="6"/>
      <queryTableField id="7" name="Porażki" tableColumnId="7"/>
      <queryTableField id="8" name="Bramki+" tableColumnId="8"/>
      <queryTableField id="9" name="Bramki-" tableColumnId="9"/>
      <queryTableField id="10" name="Bilans" tableColumnId="10"/>
      <queryTableField id="11" name="Punkty" tableColumnId="11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80884B11-E11B-4A62-94DE-E0C48FB7F1E8}" autoFormatId="16" applyNumberFormats="0" applyBorderFormats="0" applyFontFormats="0" applyPatternFormats="0" applyAlignmentFormats="0" applyWidthHeightFormats="0">
  <queryTableRefresh nextId="8">
    <queryTableFields count="7">
      <queryTableField id="1" name="Data i godzina PL" tableColumnId="1"/>
      <queryTableField id="2" name="Drużyna 1" tableColumnId="2"/>
      <queryTableField id="3" name="Gole 1" tableColumnId="3"/>
      <queryTableField id="4" name="Gole 2" tableColumnId="4"/>
      <queryTableField id="5" name="Drużyna 2" tableColumnId="5"/>
      <queryTableField id="6" name="Status" tableColumnId="6"/>
      <queryTableField id="7" name="Wynik źródłowy" tableColumnId="7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5" xr16:uid="{6765B9F5-2720-4508-812F-2497BA23FD0B}" autoFormatId="16" applyNumberFormats="0" applyBorderFormats="0" applyFontFormats="0" applyPatternFormats="0" applyAlignmentFormats="0" applyWidthHeightFormats="0">
  <queryTableRefresh nextId="8">
    <queryTableFields count="7">
      <queryTableField id="1" name="Data i godzina PL" tableColumnId="1"/>
      <queryTableField id="2" name="Drużyna 1" tableColumnId="2"/>
      <queryTableField id="3" name="Gole 1" tableColumnId="3"/>
      <queryTableField id="4" name="Gole 2" tableColumnId="4"/>
      <queryTableField id="5" name="Drużyna 2" tableColumnId="5"/>
      <queryTableField id="6" name="Status" tableColumnId="6"/>
      <queryTableField id="7" name="Wynik źródłowy" tableColumnId="7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" refreshOnLoad="1" connectionId="2" xr16:uid="{820F76B8-7EC6-493D-9504-81602DAC1DAA}" autoFormatId="16" applyNumberFormats="0" applyBorderFormats="0" applyFontFormats="0" applyPatternFormats="0" applyAlignmentFormats="0" applyWidthHeightFormats="0">
  <queryTableRefresh nextId="6">
    <queryTableFields count="3">
      <queryTableField id="3" name="Runda" tableColumnId="3"/>
      <queryTableField id="4" name="Drużyna 1" tableColumnId="4"/>
      <queryTableField id="5" name="Drużyna 2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EEE0A1B-4765-4764-A320-9C394B8BBB81}" name="Tabele_Grup_A_L" displayName="Tabele_Grup_A_L" ref="A1:K60" tableType="queryTable" totalsRowShown="0">
  <autoFilter ref="A1:K60" xr:uid="{5EEE0A1B-4765-4764-A320-9C394B8BBB81}"/>
  <tableColumns count="11">
    <tableColumn id="1" xr3:uid="{881313E0-5F65-4791-BAFA-A852A1F90151}" uniqueName="1" name="Grupa" queryTableFieldId="1"/>
    <tableColumn id="2" xr3:uid="{650A1B02-DD4C-4EEB-BF6C-82FEE27A7BA3}" uniqueName="2" name="Miejsce" queryTableFieldId="2"/>
    <tableColumn id="3" xr3:uid="{3A3F9226-8832-4C13-9AA9-5378B8C8D80A}" uniqueName="3" name="Drużyna" queryTableFieldId="3"/>
    <tableColumn id="4" xr3:uid="{1B5A0513-5F23-4051-A071-60038D2C2FE8}" uniqueName="4" name="Mecze" queryTableFieldId="4"/>
    <tableColumn id="5" xr3:uid="{AA9ACAC0-8D44-4B14-95A4-F772F9097150}" uniqueName="5" name="Zwycięstwa" queryTableFieldId="5"/>
    <tableColumn id="6" xr3:uid="{1CBB506C-5571-4369-8351-44F9AE7F08DA}" uniqueName="6" name="Remisy" queryTableFieldId="6"/>
    <tableColumn id="7" xr3:uid="{C28B2CA5-391D-4CEC-BA20-3541B25E7278}" uniqueName="7" name="Porażki" queryTableFieldId="7"/>
    <tableColumn id="8" xr3:uid="{C7D441B9-CB54-4ECD-B02B-2C19962581A0}" uniqueName="8" name="Bramki+" queryTableFieldId="8"/>
    <tableColumn id="9" xr3:uid="{C62E666D-AAAC-4207-B7CE-4074FD80ECF6}" uniqueName="9" name="Bramki-" queryTableFieldId="9"/>
    <tableColumn id="10" xr3:uid="{33A31B86-0EB7-4D5B-85B0-C387B3E3EBAA}" uniqueName="10" name="Bilans" queryTableFieldId="10"/>
    <tableColumn id="11" xr3:uid="{461F0CCC-F624-4442-816F-DCBE7C73FACB}" uniqueName="11" name="Punkty" queryTableFieldId="11"/>
  </tableColumns>
  <tableStyleInfo name="TableStyleLight1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859EC26-D97F-44C3-B70D-EB375E87169F}" name="Wyniki_Meczow_2026" displayName="Wyniki_Meczow_2026" ref="A1:G73" tableType="queryTable" totalsRowShown="0">
  <autoFilter ref="A1:G73" xr:uid="{F859EC26-D97F-44C3-B70D-EB375E87169F}"/>
  <tableColumns count="7">
    <tableColumn id="1" xr3:uid="{ED48D52C-D625-45AC-BAAD-10A90686231A}" uniqueName="1" name="Data i godzina PL" queryTableFieldId="1" dataDxfId="22"/>
    <tableColumn id="2" xr3:uid="{A8434D65-BD5A-40A4-AB8C-908BD3BCE0CF}" uniqueName="2" name="Drużyna 1" queryTableFieldId="2" dataDxfId="21"/>
    <tableColumn id="3" xr3:uid="{D3389415-4035-4291-A22A-931B33C96DF7}" uniqueName="3" name="Gole 1" queryTableFieldId="3"/>
    <tableColumn id="4" xr3:uid="{70D336D4-D7B8-4309-ABCE-D6024175D44A}" uniqueName="4" name="Gole 2" queryTableFieldId="4"/>
    <tableColumn id="5" xr3:uid="{2037B725-3BEF-4954-A71B-2E98EFF14CDA}" uniqueName="5" name="Drużyna 2" queryTableFieldId="5" dataDxfId="20"/>
    <tableColumn id="6" xr3:uid="{46DDAF9F-B423-4A0B-9FB8-E1E417FEEDD8}" uniqueName="6" name="Status" queryTableFieldId="6" dataDxfId="19"/>
    <tableColumn id="7" xr3:uid="{4B6D9EA7-8C31-459F-941F-1380B43A34EF}" uniqueName="7" name="Wynik źródłowy" queryTableFieldId="7" dataDxfId="18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D1C8CE2-2E6D-48A9-B87E-BDD1673A73FB}" name="Wyniki_Faz_Puchar" displayName="Wyniki_Faz_Puchar" ref="A2:G34" tableType="queryTable" totalsRowShown="0">
  <autoFilter ref="A2:G34" xr:uid="{CD1C8CE2-2E6D-48A9-B87E-BDD1673A73FB}"/>
  <sortState xmlns:xlrd2="http://schemas.microsoft.com/office/spreadsheetml/2017/richdata2" ref="A3:G34">
    <sortCondition ref="A2:A34"/>
  </sortState>
  <tableColumns count="7">
    <tableColumn id="1" xr3:uid="{7C9A8509-2A1F-4FCD-B853-C3CB62D7384C}" uniqueName="1" name="Data i godzina PL" queryTableFieldId="1" dataDxfId="0"/>
    <tableColumn id="2" xr3:uid="{8D6813E6-A9C5-41B5-AF34-E22CE0A973F5}" uniqueName="2" name="Drużyna 1" queryTableFieldId="2" dataDxfId="17"/>
    <tableColumn id="3" xr3:uid="{FA291251-1333-4666-8DFD-8C72064EEEC4}" uniqueName="3" name="Gole 1" queryTableFieldId="3"/>
    <tableColumn id="4" xr3:uid="{0576CA54-5575-4142-9A0C-257FF3A7A157}" uniqueName="4" name="Gole 2" queryTableFieldId="4"/>
    <tableColumn id="5" xr3:uid="{64BFAA66-360E-4FD6-9789-79DC497D69B9}" uniqueName="5" name="Drużyna 2" queryTableFieldId="5" dataDxfId="16"/>
    <tableColumn id="6" xr3:uid="{8A2DF5E4-B005-4BA3-A943-EA57E90411AC}" uniqueName="6" name="Status" queryTableFieldId="6" dataDxfId="15"/>
    <tableColumn id="7" xr3:uid="{1E270396-072E-4FB3-A368-A2E77ED1DAF6}" uniqueName="7" name="Wynik źródłowy" queryTableFieldId="7" dataDxfId="14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508AD245-E700-4DB4-8F27-6B8DD654475D}" name="Faza_Pucharowa_2026" displayName="Faza_Pucharowa_2026" ref="A1:C4" tableType="queryTable" totalsRowShown="0">
  <autoFilter ref="A1:C4" xr:uid="{508AD245-E700-4DB4-8F27-6B8DD654475D}"/>
  <tableColumns count="3">
    <tableColumn id="3" xr3:uid="{923EA52D-12BF-4E4C-A263-1EFB0231ED03}" uniqueName="3" name="Runda" queryTableFieldId="3" dataDxfId="13"/>
    <tableColumn id="4" xr3:uid="{EB04CD6C-55E0-497B-A3A8-7B00C93125C0}" uniqueName="4" name="Drużyna 1" queryTableFieldId="4"/>
    <tableColumn id="5" xr3:uid="{E2A2A3C0-BE52-4AC6-A39F-A9A228A35A8E}" uniqueName="5" name="Drużyna 2" queryTableFieldId="5"/>
  </tableColumns>
  <tableStyleInfo name="TableStyleLight14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Pakiet Office 2007–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 2007–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 2007–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092531-3AC8-44EF-9D5A-C14FC09B192B}">
  <sheetPr codeName="Arkusz3">
    <tabColor rgb="FFFF0000"/>
    <pageSetUpPr fitToPage="1"/>
  </sheetPr>
  <dimension ref="A1:CE154"/>
  <sheetViews>
    <sheetView showGridLines="0" tabSelected="1" zoomScaleNormal="100" workbookViewId="0">
      <pane xSplit="9" ySplit="2" topLeftCell="J3" activePane="bottomRight" state="frozen"/>
      <selection pane="topRight" activeCell="J1" sqref="J1"/>
      <selection pane="bottomLeft" activeCell="A3" sqref="A3"/>
      <selection pane="bottomRight" activeCell="V44" sqref="V44"/>
    </sheetView>
  </sheetViews>
  <sheetFormatPr defaultColWidth="8.88671875" defaultRowHeight="13.2" customHeight="1" zeroHeight="1" outlineLevelRow="2"/>
  <cols>
    <col min="1" max="1" width="16.6640625" style="70" customWidth="1"/>
    <col min="2" max="2" width="15.77734375" customWidth="1"/>
    <col min="3" max="3" width="20.77734375" customWidth="1"/>
    <col min="4" max="4" width="7.77734375" customWidth="1"/>
    <col min="5" max="5" width="1.88671875" customWidth="1"/>
    <col min="6" max="6" width="7.33203125" customWidth="1"/>
    <col min="7" max="7" width="3.5546875" hidden="1" customWidth="1"/>
    <col min="8" max="8" width="7.77734375" customWidth="1"/>
    <col min="9" max="9" width="3.88671875" style="97" hidden="1" customWidth="1"/>
    <col min="10" max="10" width="3.88671875" customWidth="1"/>
    <col min="11" max="11" width="1.88671875" customWidth="1"/>
    <col min="12" max="12" width="4.109375" customWidth="1"/>
    <col min="13" max="13" width="5" customWidth="1"/>
    <col min="14" max="14" width="2.88671875" hidden="1" customWidth="1"/>
    <col min="15" max="15" width="3.88671875" hidden="1" customWidth="1"/>
    <col min="16" max="16" width="1.88671875" hidden="1" customWidth="1"/>
    <col min="17" max="17" width="4.109375" hidden="1" customWidth="1"/>
    <col min="18" max="18" width="4.6640625" hidden="1" customWidth="1"/>
    <col min="19" max="19" width="3.5546875" hidden="1" customWidth="1"/>
    <col min="20" max="20" width="3.6640625" customWidth="1"/>
    <col min="21" max="21" width="1.88671875" customWidth="1"/>
    <col min="22" max="22" width="3.6640625" customWidth="1"/>
    <col min="23" max="23" width="4.6640625" customWidth="1"/>
    <col min="24" max="24" width="2.6640625" hidden="1" customWidth="1"/>
    <col min="25" max="25" width="3.88671875" customWidth="1"/>
    <col min="26" max="26" width="1.88671875" customWidth="1"/>
    <col min="27" max="27" width="4.6640625" customWidth="1"/>
    <col min="28" max="28" width="3.6640625" customWidth="1"/>
    <col min="29" max="29" width="2.6640625" hidden="1" customWidth="1"/>
    <col min="30" max="30" width="3.44140625" customWidth="1"/>
    <col min="31" max="31" width="1.88671875" customWidth="1"/>
    <col min="32" max="32" width="3.33203125" customWidth="1"/>
    <col min="33" max="33" width="3.88671875" customWidth="1"/>
    <col min="34" max="34" width="2.109375" hidden="1" customWidth="1"/>
    <col min="35" max="35" width="4.33203125" customWidth="1"/>
    <col min="36" max="36" width="1.88671875" customWidth="1"/>
    <col min="37" max="37" width="3.5546875" customWidth="1"/>
    <col min="38" max="38" width="5.109375" customWidth="1"/>
    <col min="39" max="39" width="2.88671875" hidden="1" customWidth="1"/>
    <col min="40" max="40" width="3.5546875" hidden="1" customWidth="1"/>
    <col min="41" max="41" width="1.88671875" hidden="1" customWidth="1"/>
    <col min="42" max="42" width="3.5546875" hidden="1" customWidth="1"/>
    <col min="43" max="43" width="3.6640625" hidden="1" customWidth="1"/>
    <col min="44" max="44" width="2.88671875" hidden="1" customWidth="1"/>
    <col min="45" max="45" width="3.33203125" customWidth="1"/>
    <col min="46" max="46" width="1.88671875" customWidth="1"/>
    <col min="47" max="47" width="3.44140625" customWidth="1"/>
    <col min="48" max="48" width="3.88671875" customWidth="1"/>
    <col min="49" max="49" width="3.5546875" hidden="1" customWidth="1"/>
    <col min="50" max="50" width="3.33203125" hidden="1" customWidth="1"/>
    <col min="51" max="51" width="1.88671875" hidden="1" customWidth="1"/>
    <col min="52" max="52" width="3.44140625" hidden="1" customWidth="1"/>
    <col min="53" max="53" width="3.88671875" hidden="1" customWidth="1"/>
    <col min="54" max="54" width="3" hidden="1" customWidth="1"/>
    <col min="55" max="55" width="3.33203125" hidden="1" customWidth="1"/>
    <col min="56" max="56" width="1.88671875" hidden="1" customWidth="1"/>
    <col min="57" max="57" width="3.88671875" hidden="1" customWidth="1"/>
    <col min="58" max="58" width="4.5546875" hidden="1" customWidth="1"/>
    <col min="59" max="59" width="3" hidden="1" customWidth="1"/>
    <col min="60" max="60" width="3.33203125" hidden="1" customWidth="1"/>
    <col min="61" max="61" width="1.88671875" hidden="1" customWidth="1"/>
    <col min="62" max="62" width="3.88671875" hidden="1" customWidth="1"/>
    <col min="63" max="63" width="4.33203125" hidden="1" customWidth="1"/>
    <col min="64" max="64" width="3" hidden="1" customWidth="1"/>
    <col min="65" max="65" width="3.33203125" hidden="1" customWidth="1"/>
    <col min="66" max="66" width="2" hidden="1" customWidth="1"/>
    <col min="67" max="67" width="3.88671875" hidden="1" customWidth="1"/>
    <col min="68" max="68" width="4.5546875" hidden="1" customWidth="1"/>
    <col min="69" max="69" width="3" hidden="1" customWidth="1"/>
    <col min="70" max="70" width="3.33203125" hidden="1" customWidth="1"/>
    <col min="71" max="71" width="2" hidden="1" customWidth="1"/>
    <col min="72" max="72" width="3.88671875" hidden="1" customWidth="1"/>
    <col min="73" max="73" width="4.5546875" hidden="1" customWidth="1"/>
    <col min="74" max="74" width="3" hidden="1" customWidth="1"/>
    <col min="75" max="75" width="3.33203125" hidden="1" customWidth="1"/>
    <col min="76" max="76" width="2" hidden="1" customWidth="1"/>
    <col min="77" max="77" width="3.88671875" hidden="1" customWidth="1"/>
    <col min="78" max="78" width="4.5546875" hidden="1" customWidth="1"/>
    <col min="79" max="79" width="3" hidden="1" customWidth="1"/>
    <col min="80" max="80" width="3.33203125" hidden="1" customWidth="1"/>
    <col min="81" max="81" width="2" hidden="1" customWidth="1"/>
    <col min="82" max="82" width="3.88671875" hidden="1" customWidth="1"/>
    <col min="83" max="83" width="4.5546875" hidden="1" customWidth="1"/>
    <col min="84" max="84" width="2.5546875" customWidth="1"/>
    <col min="85" max="85" width="3.88671875" customWidth="1"/>
    <col min="86" max="86" width="4.5546875" customWidth="1"/>
    <col min="87" max="87" width="3" customWidth="1"/>
    <col min="88" max="88" width="3.33203125" customWidth="1"/>
    <col min="89" max="89" width="2" customWidth="1"/>
    <col min="90" max="90" width="3.88671875" customWidth="1"/>
    <col min="91" max="91" width="4.5546875" customWidth="1"/>
    <col min="92" max="92" width="8.88671875" customWidth="1"/>
  </cols>
  <sheetData>
    <row r="1" spans="1:83" ht="31.2" customHeight="1" thickBot="1"/>
    <row r="2" spans="1:83" ht="26.25" customHeight="1" thickBot="1">
      <c r="A2" s="72" t="s">
        <v>249</v>
      </c>
      <c r="B2" s="122" t="s">
        <v>22</v>
      </c>
      <c r="C2" s="123"/>
      <c r="D2" s="124" t="s">
        <v>2</v>
      </c>
      <c r="E2" s="125"/>
      <c r="F2" s="126"/>
      <c r="H2" s="45"/>
      <c r="J2" s="119" t="s">
        <v>1</v>
      </c>
      <c r="K2" s="120"/>
      <c r="L2" s="120"/>
      <c r="M2" s="121"/>
      <c r="N2" s="97"/>
      <c r="O2" s="119" t="s">
        <v>262</v>
      </c>
      <c r="P2" s="120"/>
      <c r="Q2" s="120"/>
      <c r="R2" s="121"/>
      <c r="S2" s="97"/>
      <c r="T2" s="119" t="s">
        <v>7</v>
      </c>
      <c r="U2" s="120"/>
      <c r="V2" s="120"/>
      <c r="W2" s="121"/>
      <c r="X2" s="97"/>
      <c r="Y2" s="119" t="s">
        <v>133</v>
      </c>
      <c r="Z2" s="120"/>
      <c r="AA2" s="120"/>
      <c r="AB2" s="121"/>
      <c r="AC2" s="97"/>
      <c r="AD2" s="119" t="s">
        <v>128</v>
      </c>
      <c r="AE2" s="120"/>
      <c r="AF2" s="120"/>
      <c r="AG2" s="121"/>
      <c r="AH2" s="97"/>
      <c r="AI2" s="119" t="s">
        <v>5</v>
      </c>
      <c r="AJ2" s="120"/>
      <c r="AK2" s="120"/>
      <c r="AL2" s="121"/>
      <c r="AM2" s="97"/>
      <c r="AN2" s="119" t="s">
        <v>264</v>
      </c>
      <c r="AO2" s="120"/>
      <c r="AP2" s="120"/>
      <c r="AQ2" s="121"/>
      <c r="AR2" s="97"/>
      <c r="AS2" s="119" t="s">
        <v>140</v>
      </c>
      <c r="AT2" s="120"/>
      <c r="AU2" s="120"/>
      <c r="AV2" s="121"/>
      <c r="AW2" s="97"/>
      <c r="AX2" s="119" t="s">
        <v>265</v>
      </c>
      <c r="AY2" s="120"/>
      <c r="AZ2" s="120"/>
      <c r="BA2" s="121"/>
      <c r="BB2" s="97"/>
      <c r="BC2" s="119" t="s">
        <v>266</v>
      </c>
      <c r="BD2" s="120"/>
      <c r="BE2" s="120"/>
      <c r="BF2" s="121"/>
      <c r="BG2" s="97"/>
      <c r="BH2" s="119" t="s">
        <v>267</v>
      </c>
      <c r="BI2" s="120"/>
      <c r="BJ2" s="120"/>
      <c r="BK2" s="121"/>
      <c r="BL2" s="97"/>
      <c r="BM2" s="119" t="s">
        <v>263</v>
      </c>
      <c r="BN2" s="120"/>
      <c r="BO2" s="120"/>
      <c r="BP2" s="121"/>
      <c r="BQ2" s="97"/>
      <c r="BR2" s="119" t="s">
        <v>129</v>
      </c>
      <c r="BS2" s="120"/>
      <c r="BT2" s="120"/>
      <c r="BU2" s="121"/>
      <c r="BV2" s="97"/>
      <c r="BW2" s="119" t="s">
        <v>130</v>
      </c>
      <c r="BX2" s="120"/>
      <c r="BY2" s="120"/>
      <c r="BZ2" s="121"/>
      <c r="CA2" s="97"/>
      <c r="CB2" s="119" t="s">
        <v>131</v>
      </c>
      <c r="CC2" s="120"/>
      <c r="CD2" s="120"/>
      <c r="CE2" s="121"/>
    </row>
    <row r="3" spans="1:83" ht="13.5" hidden="1" customHeight="1" outlineLevel="1">
      <c r="A3" s="71">
        <v>46201.875</v>
      </c>
      <c r="B3" s="32" t="s">
        <v>153</v>
      </c>
      <c r="C3" s="33" t="s">
        <v>159</v>
      </c>
      <c r="D3" s="112">
        <v>0</v>
      </c>
      <c r="E3" s="44" t="s">
        <v>0</v>
      </c>
      <c r="F3" s="43">
        <v>1</v>
      </c>
      <c r="G3">
        <f t="shared" ref="G3:G27" si="0">IF(F3=D3,3,IF(F3&lt;D3,2,IF(F3&gt;D3,1)))</f>
        <v>1</v>
      </c>
      <c r="H3" s="45"/>
      <c r="I3" s="97">
        <f t="shared" ref="I3:I27" si="1">IF(L3=J3,3,IF(L3&gt;J3,1,IF(L3&lt;J3,2)))</f>
        <v>2</v>
      </c>
      <c r="J3" s="56">
        <v>2</v>
      </c>
      <c r="K3" s="56" t="s">
        <v>0</v>
      </c>
      <c r="L3" s="57">
        <v>1</v>
      </c>
      <c r="M3" s="2">
        <f>IF(OR(D3="",J3=""),0,IF((J3=D3)*(L3=F3),3,IF(I3=G3,1,0)))</f>
        <v>0</v>
      </c>
      <c r="N3" s="97">
        <f t="shared" ref="N3:N39" si="2">IF(Q3=O3,3,IF(Q3&gt;O3,1,IF(Q3&lt;O3,2)))</f>
        <v>3</v>
      </c>
      <c r="O3" s="56"/>
      <c r="P3" s="56" t="s">
        <v>0</v>
      </c>
      <c r="Q3" s="57"/>
      <c r="R3" s="2">
        <f>IF(OR(D3="",O3=""),0,IF((O3=D3)*(Q3=F3),3,IF(N3=G3,1,0)))</f>
        <v>0</v>
      </c>
      <c r="S3" s="97">
        <f t="shared" ref="S3:S39" si="3">IF(V3=T3,3,IF(V3&gt;T3,1,IF(V3&lt;T3,2)))</f>
        <v>3</v>
      </c>
      <c r="T3" s="56">
        <v>1</v>
      </c>
      <c r="U3" s="56" t="s">
        <v>0</v>
      </c>
      <c r="V3" s="57">
        <v>1</v>
      </c>
      <c r="W3" s="2">
        <f>IF(OR(D3="",T3=""),0,IF((T3=D3)*(V3=F3),3,IF(S3=G3,1,0)))</f>
        <v>0</v>
      </c>
      <c r="X3" s="97">
        <f t="shared" ref="X3:X39" si="4">IF(AA3=Y3,3,IF(AA3&gt;Y3,1,IF(AA3&lt;Y3,2)))</f>
        <v>1</v>
      </c>
      <c r="Y3" s="74">
        <v>1</v>
      </c>
      <c r="Z3" s="56" t="s">
        <v>0</v>
      </c>
      <c r="AA3" s="76">
        <v>2</v>
      </c>
      <c r="AB3" s="2">
        <f>IF(OR(D3="",Y3=""),0,IF((Y3=D3)*(AA3=F3),3,IF(X3=G3,1,0)))</f>
        <v>1</v>
      </c>
      <c r="AC3" s="97">
        <f t="shared" ref="AC3:AC39" si="5">IF(AF3=AD3,3,IF(AF3&gt;AD3,1,IF(AF3&lt;AD3,2)))</f>
        <v>1</v>
      </c>
      <c r="AD3" s="56">
        <v>1</v>
      </c>
      <c r="AE3" s="56" t="s">
        <v>0</v>
      </c>
      <c r="AF3" s="57">
        <v>2</v>
      </c>
      <c r="AG3" s="2">
        <f>IF(OR(D3="",AD3=""),0,IF((AD3=D3)*(AF3=F3),3,IF(AC3=G3,1,0)))</f>
        <v>1</v>
      </c>
      <c r="AH3" s="97">
        <f t="shared" ref="AH3:AH39" si="6">IF(AK3=AI3,3,IF(AK3&gt;AI3,1,IF(AK3&lt;AI3,2)))</f>
        <v>2</v>
      </c>
      <c r="AI3" s="56">
        <v>3</v>
      </c>
      <c r="AJ3" s="56" t="s">
        <v>0</v>
      </c>
      <c r="AK3" s="57">
        <v>1</v>
      </c>
      <c r="AL3" s="2">
        <f>IF(OR(D3="",AI3=""),0,IF((AI3=D3)*(AK3=F3),3,IF(AH3=G3,1,0)))</f>
        <v>0</v>
      </c>
      <c r="AM3" s="97">
        <f t="shared" ref="AM3:AM39" si="7">IF(AP3=AN3,3,IF(AP3&gt;AN3,1,IF(AP3&lt;AN3,2)))</f>
        <v>3</v>
      </c>
      <c r="AN3" s="56"/>
      <c r="AO3" s="56" t="s">
        <v>0</v>
      </c>
      <c r="AP3" s="57"/>
      <c r="AQ3" s="2">
        <f>IF(OR(D3="",AN3=""),0,IF((AN3=D3)*(AP3=F3),3,IF(AM3=G3,1,0)))</f>
        <v>0</v>
      </c>
      <c r="AR3" s="97">
        <f t="shared" ref="AR3:AR39" si="8">IF(AU3=AS3,3,IF(AU3&gt;AS3,1,IF(AU3&lt;AS3,2)))</f>
        <v>1</v>
      </c>
      <c r="AS3" s="56">
        <v>1</v>
      </c>
      <c r="AT3" s="56" t="s">
        <v>0</v>
      </c>
      <c r="AU3" s="57">
        <v>2</v>
      </c>
      <c r="AV3" s="2">
        <f>IF(OR(D3="",AS3=""),0,IF((AS3=D3)*(AU3=F3),3,IF(AR3=G3,1,0)))</f>
        <v>1</v>
      </c>
      <c r="AW3" s="97">
        <f t="shared" ref="AW3:AW39" si="9">IF(AZ3=AX3,3,IF(AZ3&gt;AX3,1,IF(AZ3&lt;AX3,2)))</f>
        <v>3</v>
      </c>
      <c r="AX3" s="56"/>
      <c r="AY3" s="56" t="s">
        <v>0</v>
      </c>
      <c r="AZ3" s="57"/>
      <c r="BA3" s="2">
        <f t="shared" ref="BA3:BA18" si="10">IF(OR(D3="",AX3=""),0,IF((AX3=D3)*(AZ3=F3),3,IF(AW3=G3,1,0)))</f>
        <v>0</v>
      </c>
      <c r="BB3" s="97">
        <f t="shared" ref="BB3:BB39" si="11">IF(BE3=BC3,3,IF(BE3&gt;BC3,1,IF(BE3&lt;BC3,2)))</f>
        <v>3</v>
      </c>
      <c r="BC3" s="56"/>
      <c r="BD3" s="56" t="s">
        <v>0</v>
      </c>
      <c r="BE3" s="57"/>
      <c r="BF3" s="2">
        <f t="shared" ref="BF3:BF18" si="12">IF(OR(D3="",BC3=""),0,IF((BC3=D3)*(BE3=F3),3,IF(BB3=G3,1,0)))</f>
        <v>0</v>
      </c>
      <c r="BG3" s="97">
        <f t="shared" ref="BG3:BG39" si="13">IF(BJ3=BH3,3,IF(BJ3&gt;BH3,1,IF(BJ3&lt;BH3,2)))</f>
        <v>3</v>
      </c>
      <c r="BH3" s="56"/>
      <c r="BI3" s="56" t="s">
        <v>0</v>
      </c>
      <c r="BJ3" s="57"/>
      <c r="BK3" s="2">
        <f>IF(OR(D3="",BH3=""),0,IF((BH3=D3)*(BJ3=F3),3,IF(BG3=G3,1,0)))</f>
        <v>0</v>
      </c>
      <c r="BL3" s="97">
        <f t="shared" ref="BL3:BL39" si="14">IF(BO3=BM3,3,IF(BO3&gt;BM3,1,IF(BO3&lt;BM3,2)))</f>
        <v>3</v>
      </c>
      <c r="BM3" s="56"/>
      <c r="BN3" s="56" t="s">
        <v>0</v>
      </c>
      <c r="BO3" s="57"/>
      <c r="BP3" s="2">
        <f>IF(OR(D3="",BM3=""),0,IF((BM3=D3)*(BO3=F3),3,IF(BL3=G3,1,0)))</f>
        <v>0</v>
      </c>
      <c r="BQ3" s="97">
        <f t="shared" ref="BQ3:BQ39" si="15">IF(BT3=BR3,3,IF(BT3&gt;BR3,1,IF(BT3&lt;BR3,2)))</f>
        <v>3</v>
      </c>
      <c r="BR3" s="56"/>
      <c r="BS3" s="56" t="s">
        <v>0</v>
      </c>
      <c r="BT3" s="57"/>
      <c r="BU3" s="2">
        <f>IF(OR(D3="",BR3=""),0,IF((BR3=D3)*(BT3=F3),3,IF(BQ3=G3,1,0)))</f>
        <v>0</v>
      </c>
      <c r="BV3" s="97">
        <f t="shared" ref="BV3:BV39" si="16">IF(BY3=BW3,3,IF(BY3&gt;BW3,1,IF(BY3&lt;BW3,2)))</f>
        <v>3</v>
      </c>
      <c r="BW3" s="56"/>
      <c r="BX3" s="56" t="s">
        <v>0</v>
      </c>
      <c r="BY3" s="57"/>
      <c r="BZ3" s="2">
        <f>IF(OR(D3="",BW3=""),0,IF((BW3=D3)*(BY3=F3),3,IF(BV3=G3,1,0)))</f>
        <v>0</v>
      </c>
      <c r="CA3" s="97">
        <f t="shared" ref="CA3:CA39" si="17">IF(CD3=CB3,3,IF(CD3&gt;CB3,1,IF(CD3&lt;CB3,2)))</f>
        <v>3</v>
      </c>
      <c r="CB3" s="19"/>
      <c r="CC3" s="1" t="s">
        <v>0</v>
      </c>
      <c r="CD3" s="20"/>
      <c r="CE3" s="2">
        <f>IF(OR(D3="",CB3=""),0,IF((CB3=D3)*(CD3=F3),3,IF(CA3=G3,1,0)))</f>
        <v>0</v>
      </c>
    </row>
    <row r="4" spans="1:83" ht="13.5" hidden="1" customHeight="1" outlineLevel="1">
      <c r="A4" s="71">
        <v>46202.791666666664</v>
      </c>
      <c r="B4" s="32" t="s">
        <v>167</v>
      </c>
      <c r="C4" s="33" t="s">
        <v>174</v>
      </c>
      <c r="D4" s="43">
        <v>2</v>
      </c>
      <c r="E4" s="44" t="s">
        <v>0</v>
      </c>
      <c r="F4" s="43">
        <v>1</v>
      </c>
      <c r="G4">
        <f t="shared" si="0"/>
        <v>2</v>
      </c>
      <c r="H4" s="45"/>
      <c r="I4" s="97">
        <f t="shared" si="1"/>
        <v>1</v>
      </c>
      <c r="J4" s="56">
        <v>2</v>
      </c>
      <c r="K4" s="56" t="s">
        <v>0</v>
      </c>
      <c r="L4" s="57">
        <v>3</v>
      </c>
      <c r="M4" s="2">
        <f t="shared" ref="M4:M27" si="18">IF(OR(D4="",J4=""),0,IF((J4=D4)*(L4=F4),3,IF(I4=G4,1,0)))</f>
        <v>0</v>
      </c>
      <c r="N4" s="97">
        <f t="shared" si="2"/>
        <v>3</v>
      </c>
      <c r="O4" s="56"/>
      <c r="P4" s="56" t="s">
        <v>0</v>
      </c>
      <c r="Q4" s="57"/>
      <c r="R4" s="2">
        <f t="shared" ref="R4:R15" si="19">IF(OR(D4="",O4=""),0,IF((O4=D4)*(Q4=F4),3,IF(N4=G4,1,0)))</f>
        <v>0</v>
      </c>
      <c r="S4" s="97">
        <f t="shared" si="3"/>
        <v>2</v>
      </c>
      <c r="T4" s="56">
        <v>3</v>
      </c>
      <c r="U4" s="56" t="s">
        <v>0</v>
      </c>
      <c r="V4" s="57">
        <v>0</v>
      </c>
      <c r="W4" s="2">
        <f t="shared" ref="W4:W15" si="20">IF(OR(D4="",T4=""),0,IF((T4=D4)*(V4=F4),3,IF(S4=G4,1,0)))</f>
        <v>1</v>
      </c>
      <c r="X4" s="97">
        <f t="shared" si="4"/>
        <v>2</v>
      </c>
      <c r="Y4" s="74">
        <v>2</v>
      </c>
      <c r="Z4" s="56" t="s">
        <v>0</v>
      </c>
      <c r="AA4" s="76">
        <v>0</v>
      </c>
      <c r="AB4" s="2">
        <f t="shared" ref="AB4:AB27" si="21">IF(OR(D4="",Y4=""),0,IF((Y4=D4)*(AA4=F4),3,IF(X4=G4,1,0)))</f>
        <v>1</v>
      </c>
      <c r="AC4" s="97">
        <f t="shared" si="5"/>
        <v>2</v>
      </c>
      <c r="AD4" s="56">
        <v>3</v>
      </c>
      <c r="AE4" s="56" t="s">
        <v>0</v>
      </c>
      <c r="AF4" s="57">
        <v>1</v>
      </c>
      <c r="AG4" s="2">
        <f t="shared" ref="AG4:AG27" si="22">IF(OR(D4="",AD4=""),0,IF((AD4=D4)*(AF4=F4),3,IF(AC4=G4,1,0)))</f>
        <v>1</v>
      </c>
      <c r="AH4" s="97">
        <f t="shared" si="6"/>
        <v>3</v>
      </c>
      <c r="AI4" s="56"/>
      <c r="AJ4" s="56" t="s">
        <v>0</v>
      </c>
      <c r="AK4" s="57"/>
      <c r="AL4" s="2">
        <f t="shared" ref="AL4:AL27" si="23">IF(OR(D4="",AI4=""),0,IF((AI4=D4)*(AK4=F4),3,IF(AH4=G4,1,0)))</f>
        <v>0</v>
      </c>
      <c r="AM4" s="97">
        <f t="shared" si="7"/>
        <v>3</v>
      </c>
      <c r="AN4" s="56"/>
      <c r="AO4" s="56" t="s">
        <v>0</v>
      </c>
      <c r="AP4" s="57"/>
      <c r="AQ4" s="2">
        <f t="shared" ref="AQ4:AQ27" si="24">IF(OR(D4="",AN4=""),0,IF((AN4=D4)*(AP4=F4),3,IF(AM4=G4,1,0)))</f>
        <v>0</v>
      </c>
      <c r="AR4" s="97">
        <f t="shared" si="8"/>
        <v>2</v>
      </c>
      <c r="AS4" s="56">
        <v>2</v>
      </c>
      <c r="AT4" s="56" t="s">
        <v>0</v>
      </c>
      <c r="AU4" s="57">
        <v>1</v>
      </c>
      <c r="AV4" s="2">
        <f t="shared" ref="AV4:AV27" si="25">IF(OR(D4="",AS4=""),0,IF((AS4=D4)*(AU4=F4),3,IF(AR4=G4,1,0)))</f>
        <v>3</v>
      </c>
      <c r="AW4" s="97">
        <f t="shared" si="9"/>
        <v>3</v>
      </c>
      <c r="AX4" s="56"/>
      <c r="AY4" s="56" t="s">
        <v>0</v>
      </c>
      <c r="AZ4" s="57"/>
      <c r="BA4" s="2">
        <f t="shared" si="10"/>
        <v>0</v>
      </c>
      <c r="BB4" s="97">
        <f t="shared" si="11"/>
        <v>3</v>
      </c>
      <c r="BC4" s="56"/>
      <c r="BD4" s="56" t="s">
        <v>0</v>
      </c>
      <c r="BE4" s="57"/>
      <c r="BF4" s="2">
        <f t="shared" si="12"/>
        <v>0</v>
      </c>
      <c r="BG4" s="97">
        <f t="shared" si="13"/>
        <v>3</v>
      </c>
      <c r="BH4" s="56"/>
      <c r="BI4" s="56" t="s">
        <v>0</v>
      </c>
      <c r="BJ4" s="57"/>
      <c r="BK4" s="2">
        <f t="shared" ref="BK4:BK18" si="26">IF(OR(D4="",BH4=""),0,IF((BH4=D4)*(BJ4=F4),3,IF(BG4=G4,1,0)))</f>
        <v>0</v>
      </c>
      <c r="BL4" s="97">
        <f t="shared" si="14"/>
        <v>3</v>
      </c>
      <c r="BM4" s="56"/>
      <c r="BN4" s="56" t="s">
        <v>0</v>
      </c>
      <c r="BO4" s="57"/>
      <c r="BP4" s="2">
        <f t="shared" ref="BP4:BP18" si="27">IF(OR(D4="",BM4=""),0,IF((BM4=D4)*(BO4=F4),3,IF(BL4=G4,1,0)))</f>
        <v>0</v>
      </c>
      <c r="BQ4" s="97">
        <f t="shared" si="15"/>
        <v>3</v>
      </c>
      <c r="BR4" s="56"/>
      <c r="BS4" s="56" t="s">
        <v>0</v>
      </c>
      <c r="BT4" s="57"/>
      <c r="BU4" s="2">
        <f t="shared" ref="BU4:BU18" si="28">IF(OR(D4="",BR4=""),0,IF((BR4=D4)*(BT4=F4),3,IF(BQ4=G4,1,0)))</f>
        <v>0</v>
      </c>
      <c r="BV4" s="97">
        <f t="shared" si="16"/>
        <v>3</v>
      </c>
      <c r="BW4" s="56"/>
      <c r="BX4" s="56" t="s">
        <v>0</v>
      </c>
      <c r="BY4" s="57"/>
      <c r="BZ4" s="2">
        <f t="shared" ref="BZ4:BZ18" si="29">IF(OR(D4="",BW4=""),0,IF((BW4=D4)*(BY4=F4),3,IF(BV4=G4,1,0)))</f>
        <v>0</v>
      </c>
      <c r="CA4" s="97">
        <f t="shared" si="17"/>
        <v>3</v>
      </c>
      <c r="CB4" s="19"/>
      <c r="CC4" s="1" t="s">
        <v>0</v>
      </c>
      <c r="CD4" s="20"/>
      <c r="CE4" s="2">
        <f t="shared" ref="CE4:CE18" si="30">IF(OR(D4="",CB4=""),0,IF((CB4=D4)*(CD4=F4),3,IF(CA4=G4,1,0)))</f>
        <v>0</v>
      </c>
    </row>
    <row r="5" spans="1:83" ht="13.5" hidden="1" customHeight="1" outlineLevel="1">
      <c r="A5" s="71">
        <v>46202.9375</v>
      </c>
      <c r="B5" s="32" t="s">
        <v>172</v>
      </c>
      <c r="C5" s="33" t="s">
        <v>163</v>
      </c>
      <c r="D5" s="43">
        <v>1</v>
      </c>
      <c r="E5" s="44" t="s">
        <v>0</v>
      </c>
      <c r="F5" s="43">
        <v>1</v>
      </c>
      <c r="G5">
        <f t="shared" si="0"/>
        <v>3</v>
      </c>
      <c r="H5" s="45"/>
      <c r="I5" s="97">
        <f t="shared" si="1"/>
        <v>2</v>
      </c>
      <c r="J5" s="56">
        <v>4</v>
      </c>
      <c r="K5" s="56" t="s">
        <v>0</v>
      </c>
      <c r="L5" s="57">
        <v>1</v>
      </c>
      <c r="M5" s="2">
        <f t="shared" si="18"/>
        <v>0</v>
      </c>
      <c r="N5" s="97">
        <f t="shared" si="2"/>
        <v>3</v>
      </c>
      <c r="O5" s="56"/>
      <c r="P5" s="56" t="s">
        <v>0</v>
      </c>
      <c r="Q5" s="57"/>
      <c r="R5" s="2">
        <f t="shared" si="19"/>
        <v>0</v>
      </c>
      <c r="S5" s="97">
        <f t="shared" si="3"/>
        <v>2</v>
      </c>
      <c r="T5" s="56">
        <v>3</v>
      </c>
      <c r="U5" s="56" t="s">
        <v>0</v>
      </c>
      <c r="V5" s="57">
        <v>1</v>
      </c>
      <c r="W5" s="2">
        <f t="shared" si="20"/>
        <v>0</v>
      </c>
      <c r="X5" s="97">
        <f t="shared" si="4"/>
        <v>1</v>
      </c>
      <c r="Y5" s="74">
        <v>0</v>
      </c>
      <c r="Z5" s="56" t="s">
        <v>0</v>
      </c>
      <c r="AA5" s="76">
        <v>2</v>
      </c>
      <c r="AB5" s="2">
        <f t="shared" si="21"/>
        <v>0</v>
      </c>
      <c r="AC5" s="97">
        <f t="shared" si="5"/>
        <v>3</v>
      </c>
      <c r="AD5" s="56">
        <v>1</v>
      </c>
      <c r="AE5" s="56" t="s">
        <v>0</v>
      </c>
      <c r="AF5" s="57">
        <v>1</v>
      </c>
      <c r="AG5" s="2">
        <f t="shared" si="22"/>
        <v>3</v>
      </c>
      <c r="AH5" s="97">
        <f t="shared" si="6"/>
        <v>3</v>
      </c>
      <c r="AI5" s="56"/>
      <c r="AJ5" s="56" t="s">
        <v>0</v>
      </c>
      <c r="AK5" s="57"/>
      <c r="AL5" s="2">
        <f t="shared" si="23"/>
        <v>0</v>
      </c>
      <c r="AM5" s="97">
        <f t="shared" si="7"/>
        <v>3</v>
      </c>
      <c r="AN5" s="56"/>
      <c r="AO5" s="56" t="s">
        <v>0</v>
      </c>
      <c r="AP5" s="57"/>
      <c r="AQ5" s="2">
        <f t="shared" si="24"/>
        <v>0</v>
      </c>
      <c r="AR5" s="97">
        <f t="shared" si="8"/>
        <v>2</v>
      </c>
      <c r="AS5" s="56">
        <v>3</v>
      </c>
      <c r="AT5" s="56" t="s">
        <v>0</v>
      </c>
      <c r="AU5" s="57">
        <v>0</v>
      </c>
      <c r="AV5" s="2">
        <f t="shared" si="25"/>
        <v>0</v>
      </c>
      <c r="AW5" s="97">
        <f t="shared" si="9"/>
        <v>3</v>
      </c>
      <c r="AX5" s="56"/>
      <c r="AY5" s="56" t="s">
        <v>0</v>
      </c>
      <c r="AZ5" s="57"/>
      <c r="BA5" s="2">
        <f t="shared" si="10"/>
        <v>0</v>
      </c>
      <c r="BB5" s="97">
        <f t="shared" si="11"/>
        <v>3</v>
      </c>
      <c r="BC5" s="56"/>
      <c r="BD5" s="56" t="s">
        <v>0</v>
      </c>
      <c r="BE5" s="57"/>
      <c r="BF5" s="2">
        <f t="shared" si="12"/>
        <v>0</v>
      </c>
      <c r="BG5" s="97">
        <f t="shared" si="13"/>
        <v>3</v>
      </c>
      <c r="BH5" s="56"/>
      <c r="BI5" s="56" t="s">
        <v>0</v>
      </c>
      <c r="BJ5" s="57"/>
      <c r="BK5" s="2">
        <f t="shared" si="26"/>
        <v>0</v>
      </c>
      <c r="BL5" s="97">
        <f t="shared" si="14"/>
        <v>3</v>
      </c>
      <c r="BM5" s="56"/>
      <c r="BN5" s="56" t="s">
        <v>0</v>
      </c>
      <c r="BO5" s="57"/>
      <c r="BP5" s="2">
        <f t="shared" si="27"/>
        <v>0</v>
      </c>
      <c r="BQ5" s="97">
        <f t="shared" si="15"/>
        <v>3</v>
      </c>
      <c r="BR5" s="56"/>
      <c r="BS5" s="56" t="s">
        <v>0</v>
      </c>
      <c r="BT5" s="57"/>
      <c r="BU5" s="2">
        <f t="shared" si="28"/>
        <v>0</v>
      </c>
      <c r="BV5" s="97">
        <f t="shared" si="16"/>
        <v>3</v>
      </c>
      <c r="BW5" s="56"/>
      <c r="BX5" s="56" t="s">
        <v>0</v>
      </c>
      <c r="BY5" s="57"/>
      <c r="BZ5" s="2">
        <f t="shared" si="29"/>
        <v>0</v>
      </c>
      <c r="CA5" s="97">
        <f t="shared" si="17"/>
        <v>3</v>
      </c>
      <c r="CB5" s="19"/>
      <c r="CC5" s="1" t="s">
        <v>0</v>
      </c>
      <c r="CD5" s="20"/>
      <c r="CE5" s="2">
        <f t="shared" si="30"/>
        <v>0</v>
      </c>
    </row>
    <row r="6" spans="1:83" ht="13.5" hidden="1" customHeight="1" outlineLevel="1">
      <c r="A6" s="71">
        <v>46203.125</v>
      </c>
      <c r="B6" s="32" t="s">
        <v>173</v>
      </c>
      <c r="C6" s="33" t="s">
        <v>168</v>
      </c>
      <c r="D6" s="43">
        <v>1</v>
      </c>
      <c r="E6" s="44" t="s">
        <v>0</v>
      </c>
      <c r="F6" s="43">
        <v>1</v>
      </c>
      <c r="G6">
        <f t="shared" si="0"/>
        <v>3</v>
      </c>
      <c r="H6" s="45"/>
      <c r="I6" s="97">
        <f t="shared" si="1"/>
        <v>2</v>
      </c>
      <c r="J6" s="56">
        <v>3</v>
      </c>
      <c r="K6" s="56" t="s">
        <v>0</v>
      </c>
      <c r="L6" s="57">
        <v>1</v>
      </c>
      <c r="M6" s="2">
        <f t="shared" si="18"/>
        <v>0</v>
      </c>
      <c r="N6" s="97">
        <f t="shared" si="2"/>
        <v>3</v>
      </c>
      <c r="O6" s="56"/>
      <c r="P6" s="56" t="s">
        <v>0</v>
      </c>
      <c r="Q6" s="57"/>
      <c r="R6" s="2">
        <f t="shared" si="19"/>
        <v>0</v>
      </c>
      <c r="S6" s="97">
        <f t="shared" si="3"/>
        <v>2</v>
      </c>
      <c r="T6" s="56">
        <v>2</v>
      </c>
      <c r="U6" s="56" t="s">
        <v>0</v>
      </c>
      <c r="V6" s="57">
        <v>0</v>
      </c>
      <c r="W6" s="2">
        <f t="shared" si="20"/>
        <v>0</v>
      </c>
      <c r="X6" s="97">
        <f t="shared" si="4"/>
        <v>3</v>
      </c>
      <c r="Y6" s="74">
        <v>1</v>
      </c>
      <c r="Z6" s="56" t="s">
        <v>0</v>
      </c>
      <c r="AA6" s="76">
        <v>1</v>
      </c>
      <c r="AB6" s="2">
        <f t="shared" si="21"/>
        <v>3</v>
      </c>
      <c r="AC6" s="97">
        <f t="shared" si="5"/>
        <v>3</v>
      </c>
      <c r="AD6" s="56">
        <v>2</v>
      </c>
      <c r="AE6" s="56" t="s">
        <v>0</v>
      </c>
      <c r="AF6" s="57">
        <v>2</v>
      </c>
      <c r="AG6" s="2">
        <f t="shared" si="22"/>
        <v>1</v>
      </c>
      <c r="AH6" s="97">
        <f t="shared" si="6"/>
        <v>2</v>
      </c>
      <c r="AI6" s="56">
        <v>2</v>
      </c>
      <c r="AJ6" s="56" t="s">
        <v>0</v>
      </c>
      <c r="AK6" s="57">
        <v>1</v>
      </c>
      <c r="AL6" s="2">
        <f t="shared" si="23"/>
        <v>0</v>
      </c>
      <c r="AM6" s="97">
        <f t="shared" si="7"/>
        <v>3</v>
      </c>
      <c r="AN6" s="56"/>
      <c r="AO6" s="56" t="s">
        <v>0</v>
      </c>
      <c r="AP6" s="57"/>
      <c r="AQ6" s="2">
        <f t="shared" si="24"/>
        <v>0</v>
      </c>
      <c r="AR6" s="97">
        <f t="shared" si="8"/>
        <v>2</v>
      </c>
      <c r="AS6" s="56">
        <v>2</v>
      </c>
      <c r="AT6" s="56" t="s">
        <v>0</v>
      </c>
      <c r="AU6" s="57">
        <v>0</v>
      </c>
      <c r="AV6" s="2">
        <f t="shared" si="25"/>
        <v>0</v>
      </c>
      <c r="AW6" s="97">
        <f t="shared" si="9"/>
        <v>3</v>
      </c>
      <c r="AX6" s="56"/>
      <c r="AY6" s="56" t="s">
        <v>0</v>
      </c>
      <c r="AZ6" s="57"/>
      <c r="BA6" s="2">
        <f t="shared" si="10"/>
        <v>0</v>
      </c>
      <c r="BB6" s="97">
        <f t="shared" si="11"/>
        <v>3</v>
      </c>
      <c r="BC6" s="56"/>
      <c r="BD6" s="56" t="s">
        <v>0</v>
      </c>
      <c r="BE6" s="57"/>
      <c r="BF6" s="2">
        <f t="shared" si="12"/>
        <v>0</v>
      </c>
      <c r="BG6" s="97">
        <f t="shared" si="13"/>
        <v>3</v>
      </c>
      <c r="BH6" s="56"/>
      <c r="BI6" s="56" t="s">
        <v>0</v>
      </c>
      <c r="BJ6" s="57"/>
      <c r="BK6" s="2">
        <f t="shared" si="26"/>
        <v>0</v>
      </c>
      <c r="BL6" s="97">
        <f t="shared" si="14"/>
        <v>3</v>
      </c>
      <c r="BM6" s="56"/>
      <c r="BN6" s="56" t="s">
        <v>0</v>
      </c>
      <c r="BO6" s="57"/>
      <c r="BP6" s="2">
        <f t="shared" si="27"/>
        <v>0</v>
      </c>
      <c r="BQ6" s="97">
        <f t="shared" si="15"/>
        <v>3</v>
      </c>
      <c r="BR6" s="56"/>
      <c r="BS6" s="56" t="s">
        <v>0</v>
      </c>
      <c r="BT6" s="57"/>
      <c r="BU6" s="2">
        <f t="shared" si="28"/>
        <v>0</v>
      </c>
      <c r="BV6" s="97">
        <f t="shared" si="16"/>
        <v>3</v>
      </c>
      <c r="BW6" s="56"/>
      <c r="BX6" s="56" t="s">
        <v>0</v>
      </c>
      <c r="BY6" s="57"/>
      <c r="BZ6" s="2">
        <f t="shared" si="29"/>
        <v>0</v>
      </c>
      <c r="CA6" s="97">
        <f t="shared" si="17"/>
        <v>3</v>
      </c>
      <c r="CB6" s="19"/>
      <c r="CC6" s="1" t="s">
        <v>0</v>
      </c>
      <c r="CD6" s="20"/>
      <c r="CE6" s="2">
        <f t="shared" si="30"/>
        <v>0</v>
      </c>
    </row>
    <row r="7" spans="1:83" ht="13.5" hidden="1" customHeight="1" outlineLevel="1">
      <c r="A7" s="71">
        <v>46203.125</v>
      </c>
      <c r="B7" s="32" t="s">
        <v>186</v>
      </c>
      <c r="C7" s="33" t="s">
        <v>177</v>
      </c>
      <c r="D7" s="43">
        <v>3</v>
      </c>
      <c r="E7" s="44" t="s">
        <v>0</v>
      </c>
      <c r="F7" s="43">
        <v>0</v>
      </c>
      <c r="G7">
        <f t="shared" si="0"/>
        <v>2</v>
      </c>
      <c r="H7" s="45"/>
      <c r="I7" s="97">
        <f t="shared" si="1"/>
        <v>2</v>
      </c>
      <c r="J7" s="56">
        <v>2</v>
      </c>
      <c r="K7" s="56" t="s">
        <v>0</v>
      </c>
      <c r="L7" s="57">
        <v>1</v>
      </c>
      <c r="M7" s="2">
        <f t="shared" si="18"/>
        <v>1</v>
      </c>
      <c r="N7" s="97">
        <f t="shared" si="2"/>
        <v>3</v>
      </c>
      <c r="O7" s="56"/>
      <c r="P7" s="56" t="s">
        <v>0</v>
      </c>
      <c r="Q7" s="57"/>
      <c r="R7" s="2">
        <f t="shared" si="19"/>
        <v>0</v>
      </c>
      <c r="S7" s="97">
        <f t="shared" si="3"/>
        <v>2</v>
      </c>
      <c r="T7" s="56">
        <v>4</v>
      </c>
      <c r="U7" s="56" t="s">
        <v>0</v>
      </c>
      <c r="V7" s="57">
        <v>1</v>
      </c>
      <c r="W7" s="2">
        <f t="shared" si="20"/>
        <v>1</v>
      </c>
      <c r="X7" s="97">
        <f t="shared" si="4"/>
        <v>2</v>
      </c>
      <c r="Y7" s="74">
        <v>3</v>
      </c>
      <c r="Z7" s="56" t="s">
        <v>0</v>
      </c>
      <c r="AA7" s="76">
        <v>0</v>
      </c>
      <c r="AB7" s="2">
        <f t="shared" si="21"/>
        <v>3</v>
      </c>
      <c r="AC7" s="97">
        <f t="shared" si="5"/>
        <v>2</v>
      </c>
      <c r="AD7" s="56">
        <v>3</v>
      </c>
      <c r="AE7" s="56" t="s">
        <v>0</v>
      </c>
      <c r="AF7" s="57">
        <v>1</v>
      </c>
      <c r="AG7" s="2">
        <f t="shared" si="22"/>
        <v>1</v>
      </c>
      <c r="AH7" s="97">
        <f t="shared" si="6"/>
        <v>2</v>
      </c>
      <c r="AI7" s="56">
        <v>3</v>
      </c>
      <c r="AJ7" s="56" t="s">
        <v>0</v>
      </c>
      <c r="AK7" s="57">
        <v>0</v>
      </c>
      <c r="AL7" s="2">
        <f t="shared" si="23"/>
        <v>3</v>
      </c>
      <c r="AM7" s="97">
        <f t="shared" si="7"/>
        <v>3</v>
      </c>
      <c r="AN7" s="56"/>
      <c r="AO7" s="56" t="s">
        <v>0</v>
      </c>
      <c r="AP7" s="57"/>
      <c r="AQ7" s="2">
        <f t="shared" si="24"/>
        <v>0</v>
      </c>
      <c r="AR7" s="97">
        <f t="shared" si="8"/>
        <v>2</v>
      </c>
      <c r="AS7" s="56">
        <v>3</v>
      </c>
      <c r="AT7" s="56" t="s">
        <v>0</v>
      </c>
      <c r="AU7" s="57">
        <v>1</v>
      </c>
      <c r="AV7" s="2">
        <f t="shared" si="25"/>
        <v>1</v>
      </c>
      <c r="AW7" s="97">
        <f t="shared" si="9"/>
        <v>3</v>
      </c>
      <c r="AX7" s="56"/>
      <c r="AY7" s="56" t="s">
        <v>0</v>
      </c>
      <c r="AZ7" s="57"/>
      <c r="BA7" s="2">
        <f t="shared" si="10"/>
        <v>0</v>
      </c>
      <c r="BB7" s="97">
        <f t="shared" si="11"/>
        <v>3</v>
      </c>
      <c r="BC7" s="56"/>
      <c r="BD7" s="56" t="s">
        <v>0</v>
      </c>
      <c r="BE7" s="57"/>
      <c r="BF7" s="2">
        <f t="shared" si="12"/>
        <v>0</v>
      </c>
      <c r="BG7" s="97">
        <f t="shared" si="13"/>
        <v>3</v>
      </c>
      <c r="BH7" s="56"/>
      <c r="BI7" s="56" t="s">
        <v>0</v>
      </c>
      <c r="BJ7" s="57"/>
      <c r="BK7" s="2">
        <f t="shared" si="26"/>
        <v>0</v>
      </c>
      <c r="BL7" s="97">
        <f t="shared" si="14"/>
        <v>3</v>
      </c>
      <c r="BM7" s="56"/>
      <c r="BN7" s="56" t="s">
        <v>0</v>
      </c>
      <c r="BO7" s="57"/>
      <c r="BP7" s="2">
        <f t="shared" si="27"/>
        <v>0</v>
      </c>
      <c r="BQ7" s="97">
        <f t="shared" si="15"/>
        <v>3</v>
      </c>
      <c r="BR7" s="56"/>
      <c r="BS7" s="56" t="s">
        <v>0</v>
      </c>
      <c r="BT7" s="57"/>
      <c r="BU7" s="2">
        <f t="shared" si="28"/>
        <v>0</v>
      </c>
      <c r="BV7" s="97">
        <f t="shared" si="16"/>
        <v>3</v>
      </c>
      <c r="BW7" s="56"/>
      <c r="BX7" s="56" t="s">
        <v>0</v>
      </c>
      <c r="BY7" s="57"/>
      <c r="BZ7" s="2">
        <f t="shared" si="29"/>
        <v>0</v>
      </c>
      <c r="CA7" s="97">
        <f t="shared" si="17"/>
        <v>3</v>
      </c>
      <c r="CB7" s="19"/>
      <c r="CC7" s="1" t="s">
        <v>0</v>
      </c>
      <c r="CD7" s="20"/>
      <c r="CE7" s="2">
        <f t="shared" si="30"/>
        <v>0</v>
      </c>
    </row>
    <row r="8" spans="1:83" ht="13.5" hidden="1" customHeight="1" outlineLevel="1">
      <c r="A8" s="71">
        <v>46203.791666666664</v>
      </c>
      <c r="B8" s="32" t="s">
        <v>175</v>
      </c>
      <c r="C8" s="33" t="s">
        <v>188</v>
      </c>
      <c r="D8" s="43">
        <v>1</v>
      </c>
      <c r="E8" s="44" t="s">
        <v>0</v>
      </c>
      <c r="F8" s="43">
        <v>2</v>
      </c>
      <c r="G8">
        <f t="shared" si="0"/>
        <v>1</v>
      </c>
      <c r="H8" s="45"/>
      <c r="I8" s="97">
        <f t="shared" si="1"/>
        <v>2</v>
      </c>
      <c r="J8" s="56">
        <v>2</v>
      </c>
      <c r="K8" s="56" t="s">
        <v>0</v>
      </c>
      <c r="L8" s="57">
        <v>1</v>
      </c>
      <c r="M8" s="2">
        <f t="shared" si="18"/>
        <v>0</v>
      </c>
      <c r="N8" s="97">
        <f t="shared" si="2"/>
        <v>3</v>
      </c>
      <c r="O8" s="56"/>
      <c r="P8" s="56" t="s">
        <v>0</v>
      </c>
      <c r="Q8" s="57"/>
      <c r="R8" s="2">
        <f t="shared" si="19"/>
        <v>0</v>
      </c>
      <c r="S8" s="97">
        <f t="shared" si="3"/>
        <v>3</v>
      </c>
      <c r="T8" s="56">
        <v>0</v>
      </c>
      <c r="U8" s="56" t="s">
        <v>0</v>
      </c>
      <c r="V8" s="57">
        <v>0</v>
      </c>
      <c r="W8" s="2">
        <f t="shared" si="20"/>
        <v>0</v>
      </c>
      <c r="X8" s="97">
        <f t="shared" si="4"/>
        <v>1</v>
      </c>
      <c r="Y8" s="74">
        <v>1</v>
      </c>
      <c r="Z8" s="56" t="s">
        <v>0</v>
      </c>
      <c r="AA8" s="76">
        <v>3</v>
      </c>
      <c r="AB8" s="2">
        <f t="shared" si="21"/>
        <v>1</v>
      </c>
      <c r="AC8" s="97">
        <f t="shared" si="5"/>
        <v>1</v>
      </c>
      <c r="AD8" s="56">
        <v>1</v>
      </c>
      <c r="AE8" s="56" t="s">
        <v>0</v>
      </c>
      <c r="AF8" s="57">
        <v>3</v>
      </c>
      <c r="AG8" s="2">
        <f t="shared" si="22"/>
        <v>1</v>
      </c>
      <c r="AH8" s="97">
        <f t="shared" si="6"/>
        <v>1</v>
      </c>
      <c r="AI8" s="56">
        <v>1</v>
      </c>
      <c r="AJ8" s="56" t="s">
        <v>0</v>
      </c>
      <c r="AK8" s="57">
        <v>2</v>
      </c>
      <c r="AL8" s="2">
        <f t="shared" si="23"/>
        <v>3</v>
      </c>
      <c r="AM8" s="97">
        <f t="shared" si="7"/>
        <v>3</v>
      </c>
      <c r="AN8" s="56"/>
      <c r="AO8" s="56" t="s">
        <v>0</v>
      </c>
      <c r="AP8" s="57"/>
      <c r="AQ8" s="2">
        <f t="shared" si="24"/>
        <v>0</v>
      </c>
      <c r="AR8" s="97">
        <f t="shared" si="8"/>
        <v>1</v>
      </c>
      <c r="AS8" s="56">
        <v>1</v>
      </c>
      <c r="AT8" s="56" t="s">
        <v>0</v>
      </c>
      <c r="AU8" s="57">
        <v>3</v>
      </c>
      <c r="AV8" s="2">
        <f t="shared" si="25"/>
        <v>1</v>
      </c>
      <c r="AW8" s="97">
        <f t="shared" si="9"/>
        <v>3</v>
      </c>
      <c r="AX8" s="56"/>
      <c r="AY8" s="56" t="s">
        <v>0</v>
      </c>
      <c r="AZ8" s="57"/>
      <c r="BA8" s="2">
        <f t="shared" si="10"/>
        <v>0</v>
      </c>
      <c r="BB8" s="97">
        <f t="shared" si="11"/>
        <v>3</v>
      </c>
      <c r="BC8" s="56"/>
      <c r="BD8" s="56" t="s">
        <v>0</v>
      </c>
      <c r="BE8" s="57"/>
      <c r="BF8" s="2">
        <f t="shared" si="12"/>
        <v>0</v>
      </c>
      <c r="BG8" s="97">
        <f t="shared" si="13"/>
        <v>3</v>
      </c>
      <c r="BH8" s="56"/>
      <c r="BI8" s="56" t="s">
        <v>0</v>
      </c>
      <c r="BJ8" s="57"/>
      <c r="BK8" s="2">
        <f t="shared" si="26"/>
        <v>0</v>
      </c>
      <c r="BL8" s="97">
        <f t="shared" si="14"/>
        <v>3</v>
      </c>
      <c r="BM8" s="56"/>
      <c r="BN8" s="56" t="s">
        <v>0</v>
      </c>
      <c r="BO8" s="57"/>
      <c r="BP8" s="2">
        <f t="shared" si="27"/>
        <v>0</v>
      </c>
      <c r="BQ8" s="97">
        <f t="shared" si="15"/>
        <v>3</v>
      </c>
      <c r="BR8" s="56"/>
      <c r="BS8" s="56" t="s">
        <v>0</v>
      </c>
      <c r="BT8" s="57"/>
      <c r="BU8" s="2">
        <f t="shared" si="28"/>
        <v>0</v>
      </c>
      <c r="BV8" s="97">
        <f t="shared" si="16"/>
        <v>3</v>
      </c>
      <c r="BW8" s="56"/>
      <c r="BX8" s="56" t="s">
        <v>0</v>
      </c>
      <c r="BY8" s="57"/>
      <c r="BZ8" s="2">
        <f t="shared" si="29"/>
        <v>0</v>
      </c>
      <c r="CA8" s="97">
        <f t="shared" si="17"/>
        <v>3</v>
      </c>
      <c r="CB8" s="19"/>
      <c r="CC8" s="1" t="s">
        <v>0</v>
      </c>
      <c r="CD8" s="20"/>
      <c r="CE8" s="2">
        <f t="shared" si="30"/>
        <v>0</v>
      </c>
    </row>
    <row r="9" spans="1:83" ht="13.5" hidden="1" customHeight="1" outlineLevel="1">
      <c r="A9" s="71">
        <v>46204.125</v>
      </c>
      <c r="B9" s="32" t="s">
        <v>152</v>
      </c>
      <c r="C9" s="33" t="s">
        <v>176</v>
      </c>
      <c r="D9" s="43">
        <v>2</v>
      </c>
      <c r="E9" s="44" t="s">
        <v>0</v>
      </c>
      <c r="F9" s="43">
        <v>0</v>
      </c>
      <c r="G9">
        <f t="shared" si="0"/>
        <v>2</v>
      </c>
      <c r="H9" s="45"/>
      <c r="I9" s="97">
        <f t="shared" si="1"/>
        <v>1</v>
      </c>
      <c r="J9" s="56">
        <v>1</v>
      </c>
      <c r="K9" s="56" t="s">
        <v>0</v>
      </c>
      <c r="L9" s="57">
        <v>2</v>
      </c>
      <c r="M9" s="2">
        <f t="shared" si="18"/>
        <v>0</v>
      </c>
      <c r="N9" s="97">
        <f t="shared" si="2"/>
        <v>3</v>
      </c>
      <c r="O9" s="56"/>
      <c r="P9" s="56" t="s">
        <v>0</v>
      </c>
      <c r="Q9" s="57"/>
      <c r="R9" s="2">
        <f t="shared" si="19"/>
        <v>0</v>
      </c>
      <c r="S9" s="97">
        <f t="shared" si="3"/>
        <v>3</v>
      </c>
      <c r="T9" s="56">
        <v>2</v>
      </c>
      <c r="U9" s="56" t="s">
        <v>0</v>
      </c>
      <c r="V9" s="57">
        <v>2</v>
      </c>
      <c r="W9" s="2">
        <f t="shared" si="20"/>
        <v>0</v>
      </c>
      <c r="X9" s="97">
        <f t="shared" si="4"/>
        <v>3</v>
      </c>
      <c r="Y9" s="74">
        <v>1</v>
      </c>
      <c r="Z9" s="56" t="s">
        <v>0</v>
      </c>
      <c r="AA9" s="76">
        <v>1</v>
      </c>
      <c r="AB9" s="2">
        <f t="shared" si="21"/>
        <v>0</v>
      </c>
      <c r="AC9" s="97">
        <f t="shared" si="5"/>
        <v>3</v>
      </c>
      <c r="AD9" s="56">
        <v>1</v>
      </c>
      <c r="AE9" s="56" t="s">
        <v>0</v>
      </c>
      <c r="AF9" s="57">
        <v>1</v>
      </c>
      <c r="AG9" s="2">
        <f t="shared" si="22"/>
        <v>0</v>
      </c>
      <c r="AH9" s="97">
        <f t="shared" si="6"/>
        <v>3</v>
      </c>
      <c r="AI9" s="56">
        <v>1</v>
      </c>
      <c r="AJ9" s="56" t="s">
        <v>0</v>
      </c>
      <c r="AK9" s="57">
        <v>1</v>
      </c>
      <c r="AL9" s="2">
        <f t="shared" si="23"/>
        <v>0</v>
      </c>
      <c r="AM9" s="97">
        <f t="shared" si="7"/>
        <v>3</v>
      </c>
      <c r="AN9" s="56"/>
      <c r="AO9" s="56" t="s">
        <v>0</v>
      </c>
      <c r="AP9" s="57"/>
      <c r="AQ9" s="2">
        <f t="shared" si="24"/>
        <v>0</v>
      </c>
      <c r="AR9" s="97">
        <f t="shared" si="8"/>
        <v>2</v>
      </c>
      <c r="AS9" s="56">
        <v>2</v>
      </c>
      <c r="AT9" s="56" t="s">
        <v>0</v>
      </c>
      <c r="AU9" s="57">
        <v>0</v>
      </c>
      <c r="AV9" s="2">
        <f t="shared" si="25"/>
        <v>3</v>
      </c>
      <c r="AW9" s="97">
        <f t="shared" si="9"/>
        <v>3</v>
      </c>
      <c r="AX9" s="56"/>
      <c r="AY9" s="56" t="s">
        <v>0</v>
      </c>
      <c r="AZ9" s="57"/>
      <c r="BA9" s="2">
        <f t="shared" si="10"/>
        <v>0</v>
      </c>
      <c r="BB9" s="97">
        <f t="shared" si="11"/>
        <v>3</v>
      </c>
      <c r="BC9" s="56"/>
      <c r="BD9" s="56" t="s">
        <v>0</v>
      </c>
      <c r="BE9" s="57"/>
      <c r="BF9" s="2">
        <f t="shared" si="12"/>
        <v>0</v>
      </c>
      <c r="BG9" s="97">
        <f t="shared" si="13"/>
        <v>3</v>
      </c>
      <c r="BH9" s="56"/>
      <c r="BI9" s="56" t="s">
        <v>0</v>
      </c>
      <c r="BJ9" s="57"/>
      <c r="BK9" s="2">
        <f t="shared" si="26"/>
        <v>0</v>
      </c>
      <c r="BL9" s="97">
        <f t="shared" si="14"/>
        <v>3</v>
      </c>
      <c r="BM9" s="56"/>
      <c r="BN9" s="56" t="s">
        <v>0</v>
      </c>
      <c r="BO9" s="57"/>
      <c r="BP9" s="2">
        <f t="shared" si="27"/>
        <v>0</v>
      </c>
      <c r="BQ9" s="97">
        <f t="shared" si="15"/>
        <v>3</v>
      </c>
      <c r="BR9" s="56"/>
      <c r="BS9" s="56" t="s">
        <v>0</v>
      </c>
      <c r="BT9" s="57"/>
      <c r="BU9" s="2">
        <f t="shared" si="28"/>
        <v>0</v>
      </c>
      <c r="BV9" s="97">
        <f t="shared" si="16"/>
        <v>3</v>
      </c>
      <c r="BW9" s="56"/>
      <c r="BX9" s="56" t="s">
        <v>0</v>
      </c>
      <c r="BY9" s="57"/>
      <c r="BZ9" s="2">
        <f t="shared" si="29"/>
        <v>0</v>
      </c>
      <c r="CA9" s="97">
        <f t="shared" si="17"/>
        <v>3</v>
      </c>
      <c r="CB9" s="19"/>
      <c r="CC9" s="1" t="s">
        <v>0</v>
      </c>
      <c r="CD9" s="20"/>
      <c r="CE9" s="2">
        <f t="shared" si="30"/>
        <v>0</v>
      </c>
    </row>
    <row r="10" spans="1:83" ht="13.5" hidden="1" customHeight="1" outlineLevel="1">
      <c r="A10" s="71">
        <v>46204.75</v>
      </c>
      <c r="B10" s="32" t="s">
        <v>194</v>
      </c>
      <c r="C10" s="33" t="s">
        <v>193</v>
      </c>
      <c r="D10" s="43">
        <v>2</v>
      </c>
      <c r="E10" s="44" t="s">
        <v>0</v>
      </c>
      <c r="F10" s="43">
        <v>1</v>
      </c>
      <c r="G10">
        <f t="shared" si="0"/>
        <v>2</v>
      </c>
      <c r="H10" s="45"/>
      <c r="I10" s="97">
        <f t="shared" si="1"/>
        <v>2</v>
      </c>
      <c r="J10" s="56">
        <v>3</v>
      </c>
      <c r="K10" s="56" t="s">
        <v>0</v>
      </c>
      <c r="L10" s="57">
        <v>1</v>
      </c>
      <c r="M10" s="2">
        <f t="shared" si="18"/>
        <v>1</v>
      </c>
      <c r="N10" s="97">
        <f t="shared" si="2"/>
        <v>3</v>
      </c>
      <c r="O10" s="56"/>
      <c r="P10" s="56" t="s">
        <v>0</v>
      </c>
      <c r="Q10" s="57"/>
      <c r="R10" s="2">
        <f t="shared" si="19"/>
        <v>0</v>
      </c>
      <c r="S10" s="97">
        <f t="shared" si="3"/>
        <v>2</v>
      </c>
      <c r="T10" s="56">
        <v>3</v>
      </c>
      <c r="U10" s="56" t="s">
        <v>0</v>
      </c>
      <c r="V10" s="57">
        <v>1</v>
      </c>
      <c r="W10" s="2">
        <f t="shared" si="20"/>
        <v>1</v>
      </c>
      <c r="X10" s="97">
        <f t="shared" si="4"/>
        <v>2</v>
      </c>
      <c r="Y10" s="74">
        <v>2</v>
      </c>
      <c r="Z10" s="56" t="s">
        <v>0</v>
      </c>
      <c r="AA10" s="76">
        <v>1</v>
      </c>
      <c r="AB10" s="2">
        <f t="shared" si="21"/>
        <v>3</v>
      </c>
      <c r="AC10" s="97">
        <f t="shared" si="5"/>
        <v>3</v>
      </c>
      <c r="AD10" s="56">
        <v>2</v>
      </c>
      <c r="AE10" s="56" t="s">
        <v>0</v>
      </c>
      <c r="AF10" s="57">
        <v>2</v>
      </c>
      <c r="AG10" s="2">
        <f t="shared" si="22"/>
        <v>0</v>
      </c>
      <c r="AH10" s="97">
        <f t="shared" si="6"/>
        <v>2</v>
      </c>
      <c r="AI10" s="56">
        <v>2</v>
      </c>
      <c r="AJ10" s="56" t="s">
        <v>0</v>
      </c>
      <c r="AK10" s="57">
        <v>0</v>
      </c>
      <c r="AL10" s="2">
        <f t="shared" si="23"/>
        <v>1</v>
      </c>
      <c r="AM10" s="97">
        <f t="shared" si="7"/>
        <v>3</v>
      </c>
      <c r="AN10" s="56"/>
      <c r="AO10" s="56" t="s">
        <v>0</v>
      </c>
      <c r="AP10" s="57"/>
      <c r="AQ10" s="2">
        <f t="shared" si="24"/>
        <v>0</v>
      </c>
      <c r="AR10" s="97">
        <f t="shared" si="8"/>
        <v>2</v>
      </c>
      <c r="AS10" s="56">
        <v>2</v>
      </c>
      <c r="AT10" s="56" t="s">
        <v>0</v>
      </c>
      <c r="AU10" s="57">
        <v>0</v>
      </c>
      <c r="AV10" s="2">
        <f t="shared" si="25"/>
        <v>1</v>
      </c>
      <c r="AW10" s="97">
        <f t="shared" si="9"/>
        <v>3</v>
      </c>
      <c r="AX10" s="56"/>
      <c r="AY10" s="56" t="s">
        <v>0</v>
      </c>
      <c r="AZ10" s="57"/>
      <c r="BA10" s="2">
        <f t="shared" si="10"/>
        <v>0</v>
      </c>
      <c r="BB10" s="97">
        <f t="shared" si="11"/>
        <v>3</v>
      </c>
      <c r="BC10" s="56"/>
      <c r="BD10" s="56" t="s">
        <v>0</v>
      </c>
      <c r="BE10" s="57"/>
      <c r="BF10" s="2">
        <f t="shared" si="12"/>
        <v>0</v>
      </c>
      <c r="BG10" s="97">
        <f t="shared" si="13"/>
        <v>3</v>
      </c>
      <c r="BH10" s="56"/>
      <c r="BI10" s="56" t="s">
        <v>0</v>
      </c>
      <c r="BJ10" s="57"/>
      <c r="BK10" s="2">
        <f t="shared" si="26"/>
        <v>0</v>
      </c>
      <c r="BL10" s="97">
        <f t="shared" si="14"/>
        <v>3</v>
      </c>
      <c r="BM10" s="56"/>
      <c r="BN10" s="56" t="s">
        <v>0</v>
      </c>
      <c r="BO10" s="57"/>
      <c r="BP10" s="2">
        <f t="shared" si="27"/>
        <v>0</v>
      </c>
      <c r="BQ10" s="97">
        <f t="shared" si="15"/>
        <v>3</v>
      </c>
      <c r="BR10" s="56"/>
      <c r="BS10" s="56" t="s">
        <v>0</v>
      </c>
      <c r="BT10" s="57"/>
      <c r="BU10" s="2">
        <f t="shared" si="28"/>
        <v>0</v>
      </c>
      <c r="BV10" s="97">
        <f t="shared" si="16"/>
        <v>3</v>
      </c>
      <c r="BW10" s="56"/>
      <c r="BX10" s="56" t="s">
        <v>0</v>
      </c>
      <c r="BY10" s="57"/>
      <c r="BZ10" s="2">
        <f t="shared" si="29"/>
        <v>0</v>
      </c>
      <c r="CA10" s="97">
        <f t="shared" si="17"/>
        <v>3</v>
      </c>
      <c r="CB10" s="19"/>
      <c r="CC10" s="1" t="s">
        <v>0</v>
      </c>
      <c r="CD10" s="20"/>
      <c r="CE10" s="2">
        <f t="shared" si="30"/>
        <v>0</v>
      </c>
    </row>
    <row r="11" spans="1:83" ht="13.5" hidden="1" customHeight="1" outlineLevel="1">
      <c r="A11" s="71">
        <v>46204.916666666664</v>
      </c>
      <c r="B11" s="32" t="s">
        <v>181</v>
      </c>
      <c r="C11" s="33" t="s">
        <v>55</v>
      </c>
      <c r="D11" s="43">
        <v>3</v>
      </c>
      <c r="E11" s="44" t="s">
        <v>0</v>
      </c>
      <c r="F11" s="43">
        <v>2</v>
      </c>
      <c r="G11">
        <f t="shared" si="0"/>
        <v>2</v>
      </c>
      <c r="H11" s="45"/>
      <c r="I11" s="97">
        <f t="shared" si="1"/>
        <v>1</v>
      </c>
      <c r="J11" s="56">
        <v>1</v>
      </c>
      <c r="K11" s="56" t="s">
        <v>0</v>
      </c>
      <c r="L11" s="57">
        <v>2</v>
      </c>
      <c r="M11" s="2">
        <f t="shared" si="18"/>
        <v>0</v>
      </c>
      <c r="N11" s="97">
        <f t="shared" si="2"/>
        <v>3</v>
      </c>
      <c r="O11" s="56"/>
      <c r="P11" s="56" t="s">
        <v>0</v>
      </c>
      <c r="Q11" s="57"/>
      <c r="R11" s="2">
        <f t="shared" si="19"/>
        <v>0</v>
      </c>
      <c r="S11" s="97">
        <f t="shared" si="3"/>
        <v>2</v>
      </c>
      <c r="T11" s="56">
        <v>3</v>
      </c>
      <c r="U11" s="56" t="s">
        <v>0</v>
      </c>
      <c r="V11" s="57">
        <v>1</v>
      </c>
      <c r="W11" s="2">
        <f t="shared" si="20"/>
        <v>1</v>
      </c>
      <c r="X11" s="97">
        <f t="shared" si="4"/>
        <v>1</v>
      </c>
      <c r="Y11" s="74">
        <v>1</v>
      </c>
      <c r="Z11" s="56" t="s">
        <v>0</v>
      </c>
      <c r="AA11" s="76">
        <v>2</v>
      </c>
      <c r="AB11" s="2">
        <f t="shared" si="21"/>
        <v>0</v>
      </c>
      <c r="AC11" s="97">
        <f t="shared" si="5"/>
        <v>3</v>
      </c>
      <c r="AD11" s="56">
        <v>1</v>
      </c>
      <c r="AE11" s="56" t="s">
        <v>0</v>
      </c>
      <c r="AF11" s="57">
        <v>1</v>
      </c>
      <c r="AG11" s="2">
        <f t="shared" si="22"/>
        <v>0</v>
      </c>
      <c r="AH11" s="97">
        <f t="shared" si="6"/>
        <v>1</v>
      </c>
      <c r="AI11" s="56">
        <v>1</v>
      </c>
      <c r="AJ11" s="56" t="s">
        <v>0</v>
      </c>
      <c r="AK11" s="57">
        <v>2</v>
      </c>
      <c r="AL11" s="2">
        <f t="shared" si="23"/>
        <v>0</v>
      </c>
      <c r="AM11" s="97">
        <f t="shared" si="7"/>
        <v>3</v>
      </c>
      <c r="AN11" s="56"/>
      <c r="AO11" s="56" t="s">
        <v>0</v>
      </c>
      <c r="AP11" s="57"/>
      <c r="AQ11" s="2">
        <f t="shared" si="24"/>
        <v>0</v>
      </c>
      <c r="AR11" s="97">
        <f t="shared" si="8"/>
        <v>1</v>
      </c>
      <c r="AS11" s="56">
        <v>1</v>
      </c>
      <c r="AT11" s="56" t="s">
        <v>0</v>
      </c>
      <c r="AU11" s="57">
        <v>2</v>
      </c>
      <c r="AV11" s="2">
        <f t="shared" si="25"/>
        <v>0</v>
      </c>
      <c r="AW11" s="97">
        <f t="shared" si="9"/>
        <v>3</v>
      </c>
      <c r="AX11" s="56"/>
      <c r="AY11" s="56" t="s">
        <v>0</v>
      </c>
      <c r="AZ11" s="57"/>
      <c r="BA11" s="2">
        <f t="shared" si="10"/>
        <v>0</v>
      </c>
      <c r="BB11" s="97">
        <f t="shared" si="11"/>
        <v>3</v>
      </c>
      <c r="BC11" s="56"/>
      <c r="BD11" s="56" t="s">
        <v>0</v>
      </c>
      <c r="BE11" s="57"/>
      <c r="BF11" s="2">
        <f t="shared" si="12"/>
        <v>0</v>
      </c>
      <c r="BG11" s="97">
        <f t="shared" si="13"/>
        <v>3</v>
      </c>
      <c r="BH11" s="56"/>
      <c r="BI11" s="56" t="s">
        <v>0</v>
      </c>
      <c r="BJ11" s="57"/>
      <c r="BK11" s="2">
        <f t="shared" si="26"/>
        <v>0</v>
      </c>
      <c r="BL11" s="97">
        <f t="shared" si="14"/>
        <v>3</v>
      </c>
      <c r="BM11" s="56"/>
      <c r="BN11" s="56" t="s">
        <v>0</v>
      </c>
      <c r="BO11" s="57"/>
      <c r="BP11" s="2">
        <f t="shared" si="27"/>
        <v>0</v>
      </c>
      <c r="BQ11" s="97">
        <f t="shared" si="15"/>
        <v>3</v>
      </c>
      <c r="BR11" s="56"/>
      <c r="BS11" s="56" t="s">
        <v>0</v>
      </c>
      <c r="BT11" s="57"/>
      <c r="BU11" s="2">
        <f t="shared" si="28"/>
        <v>0</v>
      </c>
      <c r="BV11" s="97">
        <f t="shared" si="16"/>
        <v>3</v>
      </c>
      <c r="BW11" s="56"/>
      <c r="BX11" s="56" t="s">
        <v>0</v>
      </c>
      <c r="BY11" s="57"/>
      <c r="BZ11" s="2">
        <f t="shared" si="29"/>
        <v>0</v>
      </c>
      <c r="CA11" s="97">
        <f t="shared" si="17"/>
        <v>3</v>
      </c>
      <c r="CB11" s="19"/>
      <c r="CC11" s="1" t="s">
        <v>0</v>
      </c>
      <c r="CD11" s="20"/>
      <c r="CE11" s="2">
        <f t="shared" si="30"/>
        <v>0</v>
      </c>
    </row>
    <row r="12" spans="1:83" ht="13.5" hidden="1" customHeight="1" outlineLevel="1">
      <c r="A12" s="71">
        <v>46205.083333333336</v>
      </c>
      <c r="B12" s="32" t="s">
        <v>162</v>
      </c>
      <c r="C12" s="33" t="s">
        <v>160</v>
      </c>
      <c r="D12" s="43">
        <v>2</v>
      </c>
      <c r="E12" s="44" t="s">
        <v>0</v>
      </c>
      <c r="F12" s="43">
        <v>0</v>
      </c>
      <c r="G12">
        <f t="shared" si="0"/>
        <v>2</v>
      </c>
      <c r="H12" s="45"/>
      <c r="I12" s="97">
        <f t="shared" si="1"/>
        <v>1</v>
      </c>
      <c r="J12" s="56">
        <v>1</v>
      </c>
      <c r="K12" s="56" t="s">
        <v>0</v>
      </c>
      <c r="L12" s="57">
        <v>2</v>
      </c>
      <c r="M12" s="2">
        <f t="shared" si="18"/>
        <v>0</v>
      </c>
      <c r="N12" s="97">
        <f t="shared" si="2"/>
        <v>3</v>
      </c>
      <c r="O12" s="56"/>
      <c r="P12" s="56" t="s">
        <v>0</v>
      </c>
      <c r="Q12" s="57"/>
      <c r="R12" s="2">
        <f t="shared" si="19"/>
        <v>0</v>
      </c>
      <c r="S12" s="97">
        <f t="shared" si="3"/>
        <v>3</v>
      </c>
      <c r="T12" s="56">
        <v>2</v>
      </c>
      <c r="U12" s="56" t="s">
        <v>0</v>
      </c>
      <c r="V12" s="57">
        <v>2</v>
      </c>
      <c r="W12" s="2">
        <f t="shared" si="20"/>
        <v>0</v>
      </c>
      <c r="X12" s="97">
        <f t="shared" si="4"/>
        <v>2</v>
      </c>
      <c r="Y12" s="74">
        <v>2</v>
      </c>
      <c r="Z12" s="56" t="s">
        <v>0</v>
      </c>
      <c r="AA12" s="76">
        <v>0</v>
      </c>
      <c r="AB12" s="2">
        <f t="shared" si="21"/>
        <v>3</v>
      </c>
      <c r="AC12" s="97">
        <f t="shared" si="5"/>
        <v>2</v>
      </c>
      <c r="AD12" s="56">
        <v>2</v>
      </c>
      <c r="AE12" s="56" t="s">
        <v>0</v>
      </c>
      <c r="AF12" s="57">
        <v>1</v>
      </c>
      <c r="AG12" s="2">
        <f t="shared" si="22"/>
        <v>1</v>
      </c>
      <c r="AH12" s="97">
        <f t="shared" si="6"/>
        <v>3</v>
      </c>
      <c r="AI12" s="56">
        <v>1</v>
      </c>
      <c r="AJ12" s="56" t="s">
        <v>0</v>
      </c>
      <c r="AK12" s="57">
        <v>1</v>
      </c>
      <c r="AL12" s="2">
        <f t="shared" si="23"/>
        <v>0</v>
      </c>
      <c r="AM12" s="97">
        <f t="shared" si="7"/>
        <v>3</v>
      </c>
      <c r="AN12" s="56"/>
      <c r="AO12" s="56" t="s">
        <v>0</v>
      </c>
      <c r="AP12" s="57"/>
      <c r="AQ12" s="2">
        <f t="shared" si="24"/>
        <v>0</v>
      </c>
      <c r="AR12" s="97">
        <f t="shared" si="8"/>
        <v>2</v>
      </c>
      <c r="AS12" s="56">
        <v>3</v>
      </c>
      <c r="AT12" s="56" t="s">
        <v>0</v>
      </c>
      <c r="AU12" s="57">
        <v>0</v>
      </c>
      <c r="AV12" s="2">
        <f t="shared" si="25"/>
        <v>1</v>
      </c>
      <c r="AW12" s="97">
        <f t="shared" si="9"/>
        <v>3</v>
      </c>
      <c r="AX12" s="56"/>
      <c r="AY12" s="56" t="s">
        <v>0</v>
      </c>
      <c r="AZ12" s="57"/>
      <c r="BA12" s="2">
        <f t="shared" si="10"/>
        <v>0</v>
      </c>
      <c r="BB12" s="97">
        <f t="shared" si="11"/>
        <v>3</v>
      </c>
      <c r="BC12" s="56"/>
      <c r="BD12" s="56" t="s">
        <v>0</v>
      </c>
      <c r="BE12" s="57"/>
      <c r="BF12" s="2">
        <f t="shared" si="12"/>
        <v>0</v>
      </c>
      <c r="BG12" s="97">
        <f t="shared" si="13"/>
        <v>3</v>
      </c>
      <c r="BH12" s="56"/>
      <c r="BI12" s="56" t="s">
        <v>0</v>
      </c>
      <c r="BJ12" s="57"/>
      <c r="BK12" s="2">
        <f t="shared" si="26"/>
        <v>0</v>
      </c>
      <c r="BL12" s="97">
        <f t="shared" si="14"/>
        <v>3</v>
      </c>
      <c r="BM12" s="56"/>
      <c r="BN12" s="56" t="s">
        <v>0</v>
      </c>
      <c r="BO12" s="57"/>
      <c r="BP12" s="2">
        <f t="shared" si="27"/>
        <v>0</v>
      </c>
      <c r="BQ12" s="97">
        <f t="shared" si="15"/>
        <v>3</v>
      </c>
      <c r="BR12" s="56"/>
      <c r="BS12" s="56" t="s">
        <v>0</v>
      </c>
      <c r="BT12" s="57"/>
      <c r="BU12" s="2">
        <f t="shared" si="28"/>
        <v>0</v>
      </c>
      <c r="BV12" s="97">
        <f t="shared" si="16"/>
        <v>3</v>
      </c>
      <c r="BW12" s="56"/>
      <c r="BX12" s="56" t="s">
        <v>0</v>
      </c>
      <c r="BY12" s="57"/>
      <c r="BZ12" s="2">
        <f t="shared" si="29"/>
        <v>0</v>
      </c>
      <c r="CA12" s="97">
        <f t="shared" si="17"/>
        <v>3</v>
      </c>
      <c r="CB12" s="19"/>
      <c r="CC12" s="1" t="s">
        <v>0</v>
      </c>
      <c r="CD12" s="20"/>
      <c r="CE12" s="2">
        <f t="shared" si="30"/>
        <v>0</v>
      </c>
    </row>
    <row r="13" spans="1:83" ht="13.5" hidden="1" customHeight="1" outlineLevel="1">
      <c r="A13" s="71">
        <v>46205.875</v>
      </c>
      <c r="B13" s="32" t="s">
        <v>179</v>
      </c>
      <c r="C13" s="33" t="s">
        <v>8</v>
      </c>
      <c r="D13" s="43">
        <v>3</v>
      </c>
      <c r="E13" s="44" t="s">
        <v>0</v>
      </c>
      <c r="F13" s="43">
        <v>0</v>
      </c>
      <c r="G13">
        <f t="shared" si="0"/>
        <v>2</v>
      </c>
      <c r="H13" s="45"/>
      <c r="I13" s="97">
        <f t="shared" si="1"/>
        <v>2</v>
      </c>
      <c r="J13" s="56">
        <v>3</v>
      </c>
      <c r="K13" s="56" t="s">
        <v>0</v>
      </c>
      <c r="L13" s="57">
        <v>1</v>
      </c>
      <c r="M13" s="2">
        <f t="shared" si="18"/>
        <v>1</v>
      </c>
      <c r="N13" s="97">
        <f t="shared" si="2"/>
        <v>3</v>
      </c>
      <c r="O13" s="56"/>
      <c r="P13" s="56" t="s">
        <v>0</v>
      </c>
      <c r="Q13" s="57"/>
      <c r="R13" s="2">
        <f t="shared" si="19"/>
        <v>0</v>
      </c>
      <c r="S13" s="97">
        <f t="shared" si="3"/>
        <v>2</v>
      </c>
      <c r="T13" s="56">
        <v>2</v>
      </c>
      <c r="U13" s="56" t="s">
        <v>0</v>
      </c>
      <c r="V13" s="57">
        <v>0</v>
      </c>
      <c r="W13" s="2">
        <f t="shared" si="20"/>
        <v>1</v>
      </c>
      <c r="X13" s="97">
        <f t="shared" si="4"/>
        <v>3</v>
      </c>
      <c r="Y13" s="74">
        <v>1</v>
      </c>
      <c r="Z13" s="56" t="s">
        <v>0</v>
      </c>
      <c r="AA13" s="76">
        <v>1</v>
      </c>
      <c r="AB13" s="2">
        <f t="shared" si="21"/>
        <v>0</v>
      </c>
      <c r="AC13" s="97">
        <f t="shared" si="5"/>
        <v>2</v>
      </c>
      <c r="AD13" s="56">
        <v>2</v>
      </c>
      <c r="AE13" s="56" t="s">
        <v>0</v>
      </c>
      <c r="AF13" s="57">
        <v>1</v>
      </c>
      <c r="AG13" s="2">
        <f t="shared" si="22"/>
        <v>1</v>
      </c>
      <c r="AH13" s="97">
        <f t="shared" si="6"/>
        <v>2</v>
      </c>
      <c r="AI13" s="56">
        <v>3</v>
      </c>
      <c r="AJ13" s="56" t="s">
        <v>0</v>
      </c>
      <c r="AK13" s="57">
        <v>0</v>
      </c>
      <c r="AL13" s="2">
        <f t="shared" si="23"/>
        <v>3</v>
      </c>
      <c r="AM13" s="97">
        <f t="shared" si="7"/>
        <v>3</v>
      </c>
      <c r="AN13" s="56"/>
      <c r="AO13" s="56" t="s">
        <v>0</v>
      </c>
      <c r="AP13" s="57"/>
      <c r="AQ13" s="2">
        <f t="shared" si="24"/>
        <v>0</v>
      </c>
      <c r="AR13" s="97">
        <f t="shared" si="8"/>
        <v>3</v>
      </c>
      <c r="AS13" s="56">
        <v>2</v>
      </c>
      <c r="AT13" s="56" t="s">
        <v>0</v>
      </c>
      <c r="AU13" s="57">
        <v>2</v>
      </c>
      <c r="AV13" s="2">
        <f t="shared" si="25"/>
        <v>0</v>
      </c>
      <c r="AW13" s="97">
        <f t="shared" si="9"/>
        <v>3</v>
      </c>
      <c r="AX13" s="56"/>
      <c r="AY13" s="56" t="s">
        <v>0</v>
      </c>
      <c r="AZ13" s="57"/>
      <c r="BA13" s="2">
        <f t="shared" si="10"/>
        <v>0</v>
      </c>
      <c r="BB13" s="97">
        <f t="shared" si="11"/>
        <v>3</v>
      </c>
      <c r="BC13" s="56"/>
      <c r="BD13" s="56" t="s">
        <v>0</v>
      </c>
      <c r="BE13" s="57"/>
      <c r="BF13" s="2">
        <f t="shared" si="12"/>
        <v>0</v>
      </c>
      <c r="BG13" s="97">
        <f t="shared" si="13"/>
        <v>3</v>
      </c>
      <c r="BH13" s="56"/>
      <c r="BI13" s="56" t="s">
        <v>0</v>
      </c>
      <c r="BJ13" s="57"/>
      <c r="BK13" s="2">
        <f t="shared" si="26"/>
        <v>0</v>
      </c>
      <c r="BL13" s="97">
        <f t="shared" si="14"/>
        <v>3</v>
      </c>
      <c r="BM13" s="56"/>
      <c r="BN13" s="56" t="s">
        <v>0</v>
      </c>
      <c r="BO13" s="57"/>
      <c r="BP13" s="2">
        <f t="shared" si="27"/>
        <v>0</v>
      </c>
      <c r="BQ13" s="97">
        <f t="shared" si="15"/>
        <v>3</v>
      </c>
      <c r="BR13" s="56"/>
      <c r="BS13" s="56" t="s">
        <v>0</v>
      </c>
      <c r="BT13" s="57"/>
      <c r="BU13" s="2">
        <f t="shared" si="28"/>
        <v>0</v>
      </c>
      <c r="BV13" s="97">
        <f t="shared" si="16"/>
        <v>3</v>
      </c>
      <c r="BW13" s="56"/>
      <c r="BX13" s="56" t="s">
        <v>0</v>
      </c>
      <c r="BY13" s="57"/>
      <c r="BZ13" s="2">
        <f t="shared" si="29"/>
        <v>0</v>
      </c>
      <c r="CA13" s="97">
        <f t="shared" si="17"/>
        <v>3</v>
      </c>
      <c r="CB13" s="19"/>
      <c r="CC13" s="1" t="s">
        <v>0</v>
      </c>
      <c r="CD13" s="20"/>
      <c r="CE13" s="2">
        <f t="shared" si="30"/>
        <v>0</v>
      </c>
    </row>
    <row r="14" spans="1:83" ht="13.5" hidden="1" customHeight="1" outlineLevel="1">
      <c r="A14" s="71">
        <v>46206.041666666664</v>
      </c>
      <c r="B14" s="32" t="s">
        <v>192</v>
      </c>
      <c r="C14" s="33" t="s">
        <v>195</v>
      </c>
      <c r="D14" s="43">
        <v>2</v>
      </c>
      <c r="E14" s="44" t="s">
        <v>0</v>
      </c>
      <c r="F14" s="43">
        <v>1</v>
      </c>
      <c r="G14">
        <f t="shared" si="0"/>
        <v>2</v>
      </c>
      <c r="H14" s="45"/>
      <c r="I14" s="97">
        <f t="shared" si="1"/>
        <v>2</v>
      </c>
      <c r="J14" s="56">
        <v>2</v>
      </c>
      <c r="K14" s="56" t="s">
        <v>0</v>
      </c>
      <c r="L14" s="57">
        <v>1</v>
      </c>
      <c r="M14" s="2">
        <f t="shared" si="18"/>
        <v>3</v>
      </c>
      <c r="N14" s="97">
        <f t="shared" si="2"/>
        <v>3</v>
      </c>
      <c r="O14" s="56"/>
      <c r="P14" s="56" t="s">
        <v>0</v>
      </c>
      <c r="Q14" s="57"/>
      <c r="R14" s="2">
        <f t="shared" si="19"/>
        <v>0</v>
      </c>
      <c r="S14" s="97">
        <f t="shared" si="3"/>
        <v>2</v>
      </c>
      <c r="T14" s="56">
        <v>3</v>
      </c>
      <c r="U14" s="56" t="s">
        <v>0</v>
      </c>
      <c r="V14" s="57">
        <v>1</v>
      </c>
      <c r="W14" s="2">
        <f t="shared" si="20"/>
        <v>1</v>
      </c>
      <c r="X14" s="97">
        <f t="shared" si="4"/>
        <v>3</v>
      </c>
      <c r="Y14" s="74">
        <v>2</v>
      </c>
      <c r="Z14" s="56" t="s">
        <v>0</v>
      </c>
      <c r="AA14" s="76">
        <v>2</v>
      </c>
      <c r="AB14" s="2">
        <f t="shared" si="21"/>
        <v>0</v>
      </c>
      <c r="AC14" s="97">
        <f t="shared" si="5"/>
        <v>2</v>
      </c>
      <c r="AD14" s="56">
        <v>2</v>
      </c>
      <c r="AE14" s="56" t="s">
        <v>0</v>
      </c>
      <c r="AF14" s="57">
        <v>1</v>
      </c>
      <c r="AG14" s="2">
        <f t="shared" si="22"/>
        <v>3</v>
      </c>
      <c r="AH14" s="97">
        <f t="shared" si="6"/>
        <v>3</v>
      </c>
      <c r="AI14" s="56">
        <v>2</v>
      </c>
      <c r="AJ14" s="56" t="s">
        <v>0</v>
      </c>
      <c r="AK14" s="57">
        <v>2</v>
      </c>
      <c r="AL14" s="2">
        <f t="shared" si="23"/>
        <v>0</v>
      </c>
      <c r="AM14" s="97">
        <f t="shared" si="7"/>
        <v>3</v>
      </c>
      <c r="AN14" s="56"/>
      <c r="AO14" s="56" t="s">
        <v>0</v>
      </c>
      <c r="AP14" s="57"/>
      <c r="AQ14" s="2">
        <f t="shared" si="24"/>
        <v>0</v>
      </c>
      <c r="AR14" s="97">
        <f t="shared" si="8"/>
        <v>3</v>
      </c>
      <c r="AS14" s="56">
        <v>1</v>
      </c>
      <c r="AT14" s="56" t="s">
        <v>0</v>
      </c>
      <c r="AU14" s="57">
        <v>1</v>
      </c>
      <c r="AV14" s="2">
        <f t="shared" si="25"/>
        <v>0</v>
      </c>
      <c r="AW14" s="97">
        <f t="shared" si="9"/>
        <v>3</v>
      </c>
      <c r="AX14" s="56"/>
      <c r="AY14" s="56" t="s">
        <v>0</v>
      </c>
      <c r="AZ14" s="57"/>
      <c r="BA14" s="2">
        <f t="shared" si="10"/>
        <v>0</v>
      </c>
      <c r="BB14" s="97">
        <f t="shared" si="11"/>
        <v>3</v>
      </c>
      <c r="BC14" s="56"/>
      <c r="BD14" s="56" t="s">
        <v>0</v>
      </c>
      <c r="BE14" s="57"/>
      <c r="BF14" s="2">
        <f t="shared" si="12"/>
        <v>0</v>
      </c>
      <c r="BG14" s="97">
        <f t="shared" si="13"/>
        <v>3</v>
      </c>
      <c r="BH14" s="56"/>
      <c r="BI14" s="56" t="s">
        <v>0</v>
      </c>
      <c r="BJ14" s="57"/>
      <c r="BK14" s="2">
        <f t="shared" si="26"/>
        <v>0</v>
      </c>
      <c r="BL14" s="97">
        <f t="shared" si="14"/>
        <v>3</v>
      </c>
      <c r="BM14" s="56"/>
      <c r="BN14" s="56" t="s">
        <v>0</v>
      </c>
      <c r="BO14" s="57"/>
      <c r="BP14" s="2">
        <f t="shared" si="27"/>
        <v>0</v>
      </c>
      <c r="BQ14" s="97">
        <f t="shared" si="15"/>
        <v>3</v>
      </c>
      <c r="BR14" s="56"/>
      <c r="BS14" s="56" t="s">
        <v>0</v>
      </c>
      <c r="BT14" s="57"/>
      <c r="BU14" s="2">
        <f t="shared" si="28"/>
        <v>0</v>
      </c>
      <c r="BV14" s="97">
        <f t="shared" si="16"/>
        <v>3</v>
      </c>
      <c r="BW14" s="56"/>
      <c r="BX14" s="56" t="s">
        <v>0</v>
      </c>
      <c r="BY14" s="57"/>
      <c r="BZ14" s="2">
        <f t="shared" si="29"/>
        <v>0</v>
      </c>
      <c r="CA14" s="97">
        <f t="shared" si="17"/>
        <v>3</v>
      </c>
      <c r="CB14" s="19"/>
      <c r="CC14" s="1" t="s">
        <v>0</v>
      </c>
      <c r="CD14" s="20"/>
      <c r="CE14" s="2">
        <f t="shared" si="30"/>
        <v>0</v>
      </c>
    </row>
    <row r="15" spans="1:83" ht="13.5" hidden="1" customHeight="1" outlineLevel="1">
      <c r="A15" s="71">
        <v>46206.208333333336</v>
      </c>
      <c r="B15" s="32" t="s">
        <v>166</v>
      </c>
      <c r="C15" s="33" t="s">
        <v>190</v>
      </c>
      <c r="D15" s="112">
        <v>2</v>
      </c>
      <c r="E15" s="44" t="s">
        <v>0</v>
      </c>
      <c r="F15" s="43">
        <v>0</v>
      </c>
      <c r="G15">
        <f t="shared" si="0"/>
        <v>2</v>
      </c>
      <c r="H15" s="45"/>
      <c r="I15" s="97">
        <f t="shared" si="1"/>
        <v>2</v>
      </c>
      <c r="J15" s="56">
        <v>1</v>
      </c>
      <c r="K15" s="56" t="s">
        <v>0</v>
      </c>
      <c r="L15" s="57">
        <v>0</v>
      </c>
      <c r="M15" s="2">
        <f t="shared" si="18"/>
        <v>1</v>
      </c>
      <c r="N15" s="97">
        <f t="shared" si="2"/>
        <v>3</v>
      </c>
      <c r="O15" s="56"/>
      <c r="P15" s="56" t="s">
        <v>0</v>
      </c>
      <c r="Q15" s="57"/>
      <c r="R15" s="2">
        <f t="shared" si="19"/>
        <v>0</v>
      </c>
      <c r="S15" s="97">
        <f t="shared" si="3"/>
        <v>2</v>
      </c>
      <c r="T15" s="56">
        <v>1</v>
      </c>
      <c r="U15" s="56" t="s">
        <v>0</v>
      </c>
      <c r="V15" s="57">
        <v>0</v>
      </c>
      <c r="W15" s="2">
        <f t="shared" si="20"/>
        <v>1</v>
      </c>
      <c r="X15" s="97">
        <f t="shared" si="4"/>
        <v>2</v>
      </c>
      <c r="Y15" s="74">
        <v>2</v>
      </c>
      <c r="Z15" s="56" t="s">
        <v>0</v>
      </c>
      <c r="AA15" s="76">
        <v>1</v>
      </c>
      <c r="AB15" s="2">
        <f t="shared" si="21"/>
        <v>1</v>
      </c>
      <c r="AC15" s="97">
        <f t="shared" si="5"/>
        <v>2</v>
      </c>
      <c r="AD15" s="56">
        <v>2</v>
      </c>
      <c r="AE15" s="56" t="s">
        <v>0</v>
      </c>
      <c r="AF15" s="57">
        <v>1</v>
      </c>
      <c r="AG15" s="2">
        <f t="shared" si="22"/>
        <v>1</v>
      </c>
      <c r="AH15" s="97">
        <f t="shared" si="6"/>
        <v>1</v>
      </c>
      <c r="AI15" s="56">
        <v>1</v>
      </c>
      <c r="AJ15" s="56" t="s">
        <v>0</v>
      </c>
      <c r="AK15" s="57">
        <v>2</v>
      </c>
      <c r="AL15" s="2">
        <f t="shared" si="23"/>
        <v>0</v>
      </c>
      <c r="AM15" s="97">
        <f t="shared" si="7"/>
        <v>3</v>
      </c>
      <c r="AN15" s="56"/>
      <c r="AO15" s="56" t="s">
        <v>0</v>
      </c>
      <c r="AP15" s="57"/>
      <c r="AQ15" s="2">
        <f t="shared" si="24"/>
        <v>0</v>
      </c>
      <c r="AR15" s="97">
        <f t="shared" si="8"/>
        <v>2</v>
      </c>
      <c r="AS15" s="56">
        <v>1</v>
      </c>
      <c r="AT15" s="56" t="s">
        <v>0</v>
      </c>
      <c r="AU15" s="57">
        <v>0</v>
      </c>
      <c r="AV15" s="2">
        <f t="shared" si="25"/>
        <v>1</v>
      </c>
      <c r="AW15" s="97">
        <f t="shared" si="9"/>
        <v>3</v>
      </c>
      <c r="AX15" s="56"/>
      <c r="AY15" s="56" t="s">
        <v>0</v>
      </c>
      <c r="AZ15" s="57"/>
      <c r="BA15" s="2">
        <f t="shared" si="10"/>
        <v>0</v>
      </c>
      <c r="BB15" s="97">
        <f t="shared" si="11"/>
        <v>3</v>
      </c>
      <c r="BC15" s="56"/>
      <c r="BD15" s="56" t="s">
        <v>0</v>
      </c>
      <c r="BE15" s="57"/>
      <c r="BF15" s="2">
        <f t="shared" si="12"/>
        <v>0</v>
      </c>
      <c r="BG15" s="97">
        <f t="shared" si="13"/>
        <v>3</v>
      </c>
      <c r="BH15" s="56"/>
      <c r="BI15" s="56" t="s">
        <v>0</v>
      </c>
      <c r="BJ15" s="57"/>
      <c r="BK15" s="2">
        <f t="shared" si="26"/>
        <v>0</v>
      </c>
      <c r="BL15" s="97">
        <f t="shared" si="14"/>
        <v>3</v>
      </c>
      <c r="BM15" s="56"/>
      <c r="BN15" s="56" t="s">
        <v>0</v>
      </c>
      <c r="BO15" s="57"/>
      <c r="BP15" s="2">
        <f t="shared" si="27"/>
        <v>0</v>
      </c>
      <c r="BQ15" s="97">
        <f t="shared" si="15"/>
        <v>3</v>
      </c>
      <c r="BR15" s="56"/>
      <c r="BS15" s="56" t="s">
        <v>0</v>
      </c>
      <c r="BT15" s="57"/>
      <c r="BU15" s="2">
        <f t="shared" si="28"/>
        <v>0</v>
      </c>
      <c r="BV15" s="97">
        <f t="shared" si="16"/>
        <v>3</v>
      </c>
      <c r="BW15" s="56"/>
      <c r="BX15" s="56" t="s">
        <v>0</v>
      </c>
      <c r="BY15" s="57"/>
      <c r="BZ15" s="2">
        <f t="shared" si="29"/>
        <v>0</v>
      </c>
      <c r="CA15" s="97">
        <f t="shared" si="17"/>
        <v>3</v>
      </c>
      <c r="CB15" s="19"/>
      <c r="CC15" s="1" t="s">
        <v>0</v>
      </c>
      <c r="CD15" s="20"/>
      <c r="CE15" s="2">
        <f t="shared" si="30"/>
        <v>0</v>
      </c>
    </row>
    <row r="16" spans="1:83" ht="13.8" hidden="1" outlineLevel="1">
      <c r="A16" s="71">
        <v>46206.833333333336</v>
      </c>
      <c r="B16" s="32" t="s">
        <v>40</v>
      </c>
      <c r="C16" s="33" t="s">
        <v>182</v>
      </c>
      <c r="D16" s="43">
        <v>1</v>
      </c>
      <c r="E16" s="44" t="s">
        <v>0</v>
      </c>
      <c r="F16" s="43">
        <v>1</v>
      </c>
      <c r="G16">
        <f t="shared" si="0"/>
        <v>3</v>
      </c>
      <c r="H16" s="45"/>
      <c r="I16" s="97">
        <f t="shared" si="1"/>
        <v>1</v>
      </c>
      <c r="J16" s="56">
        <v>0</v>
      </c>
      <c r="K16" s="56" t="s">
        <v>0</v>
      </c>
      <c r="L16" s="57">
        <v>2</v>
      </c>
      <c r="M16" s="2">
        <f t="shared" si="18"/>
        <v>0</v>
      </c>
      <c r="N16" s="97">
        <f t="shared" si="2"/>
        <v>3</v>
      </c>
      <c r="O16" s="56"/>
      <c r="P16" s="56" t="s">
        <v>0</v>
      </c>
      <c r="Q16" s="57"/>
      <c r="R16" s="2">
        <f>IF(OR(D16="",O16=""),0,IF((O16=D16)*(Q16=F16),3,IF(N16=G16,1,0)))</f>
        <v>0</v>
      </c>
      <c r="S16" s="97">
        <f t="shared" si="3"/>
        <v>2</v>
      </c>
      <c r="T16" s="56">
        <v>1</v>
      </c>
      <c r="U16" s="56" t="s">
        <v>0</v>
      </c>
      <c r="V16" s="57">
        <v>0</v>
      </c>
      <c r="W16" s="2">
        <f>IF(OR(D16="",T16=""),0,IF((T16=D16)*(V16=F16),3,IF(S16=G16,1,0)))</f>
        <v>0</v>
      </c>
      <c r="X16" s="97">
        <f t="shared" si="4"/>
        <v>3</v>
      </c>
      <c r="Y16" s="74">
        <v>2</v>
      </c>
      <c r="Z16" s="56" t="s">
        <v>0</v>
      </c>
      <c r="AA16" s="76">
        <v>2</v>
      </c>
      <c r="AB16" s="2">
        <f t="shared" si="21"/>
        <v>1</v>
      </c>
      <c r="AC16" s="97">
        <f t="shared" si="5"/>
        <v>3</v>
      </c>
      <c r="AD16" s="56">
        <v>1</v>
      </c>
      <c r="AE16" s="56" t="s">
        <v>0</v>
      </c>
      <c r="AF16" s="57">
        <v>1</v>
      </c>
      <c r="AG16" s="2">
        <f t="shared" si="22"/>
        <v>3</v>
      </c>
      <c r="AH16" s="97">
        <f t="shared" si="6"/>
        <v>1</v>
      </c>
      <c r="AI16" s="56">
        <v>0</v>
      </c>
      <c r="AJ16" s="56" t="s">
        <v>0</v>
      </c>
      <c r="AK16" s="57">
        <v>2</v>
      </c>
      <c r="AL16" s="2">
        <f t="shared" si="23"/>
        <v>0</v>
      </c>
      <c r="AM16" s="97">
        <f t="shared" si="7"/>
        <v>3</v>
      </c>
      <c r="AN16" s="56"/>
      <c r="AO16" s="56" t="s">
        <v>0</v>
      </c>
      <c r="AP16" s="57"/>
      <c r="AQ16" s="2">
        <f t="shared" si="24"/>
        <v>0</v>
      </c>
      <c r="AR16" s="97">
        <f t="shared" si="8"/>
        <v>3</v>
      </c>
      <c r="AS16" s="56">
        <v>1</v>
      </c>
      <c r="AT16" s="56" t="s">
        <v>0</v>
      </c>
      <c r="AU16" s="57">
        <v>1</v>
      </c>
      <c r="AV16" s="2">
        <f t="shared" si="25"/>
        <v>3</v>
      </c>
      <c r="AW16" s="97">
        <f t="shared" si="9"/>
        <v>3</v>
      </c>
      <c r="AX16" s="56"/>
      <c r="AY16" s="56" t="s">
        <v>0</v>
      </c>
      <c r="AZ16" s="57"/>
      <c r="BA16" s="2">
        <f t="shared" si="10"/>
        <v>0</v>
      </c>
      <c r="BB16" s="97">
        <f t="shared" si="11"/>
        <v>3</v>
      </c>
      <c r="BC16" s="56"/>
      <c r="BD16" s="56" t="s">
        <v>0</v>
      </c>
      <c r="BE16" s="57"/>
      <c r="BF16" s="2">
        <f t="shared" si="12"/>
        <v>0</v>
      </c>
      <c r="BG16" s="97">
        <f t="shared" si="13"/>
        <v>3</v>
      </c>
      <c r="BH16" s="56"/>
      <c r="BI16" s="56" t="s">
        <v>0</v>
      </c>
      <c r="BJ16" s="57"/>
      <c r="BK16" s="2">
        <f t="shared" si="26"/>
        <v>0</v>
      </c>
      <c r="BL16" s="97">
        <f t="shared" si="14"/>
        <v>3</v>
      </c>
      <c r="BM16" s="56"/>
      <c r="BN16" s="56" t="s">
        <v>0</v>
      </c>
      <c r="BO16" s="57"/>
      <c r="BP16" s="2">
        <f t="shared" si="27"/>
        <v>0</v>
      </c>
      <c r="BQ16" s="97">
        <f t="shared" si="15"/>
        <v>3</v>
      </c>
      <c r="BR16" s="56"/>
      <c r="BS16" s="56" t="s">
        <v>0</v>
      </c>
      <c r="BT16" s="57"/>
      <c r="BU16" s="2">
        <f t="shared" si="28"/>
        <v>0</v>
      </c>
      <c r="BV16" s="97">
        <f t="shared" si="16"/>
        <v>3</v>
      </c>
      <c r="BW16" s="56"/>
      <c r="BX16" s="56" t="s">
        <v>0</v>
      </c>
      <c r="BY16" s="57"/>
      <c r="BZ16" s="2">
        <f t="shared" si="29"/>
        <v>0</v>
      </c>
      <c r="CA16" s="97">
        <f t="shared" si="17"/>
        <v>3</v>
      </c>
      <c r="CB16" s="19"/>
      <c r="CC16" s="1" t="s">
        <v>0</v>
      </c>
      <c r="CD16" s="20"/>
      <c r="CE16" s="2">
        <f t="shared" si="30"/>
        <v>0</v>
      </c>
    </row>
    <row r="17" spans="1:83" ht="13.8" hidden="1" outlineLevel="1">
      <c r="A17" s="71">
        <v>46207</v>
      </c>
      <c r="B17" s="32" t="s">
        <v>189</v>
      </c>
      <c r="C17" s="33" t="s">
        <v>180</v>
      </c>
      <c r="D17" s="43">
        <v>3</v>
      </c>
      <c r="E17" s="44" t="s">
        <v>0</v>
      </c>
      <c r="F17" s="43">
        <v>2</v>
      </c>
      <c r="G17">
        <f t="shared" si="0"/>
        <v>2</v>
      </c>
      <c r="H17" s="45"/>
      <c r="I17" s="97">
        <f t="shared" si="1"/>
        <v>2</v>
      </c>
      <c r="J17" s="56">
        <v>2</v>
      </c>
      <c r="K17" s="56" t="s">
        <v>0</v>
      </c>
      <c r="L17" s="57">
        <v>1</v>
      </c>
      <c r="M17" s="2">
        <f t="shared" si="18"/>
        <v>1</v>
      </c>
      <c r="N17" s="97">
        <f t="shared" si="2"/>
        <v>3</v>
      </c>
      <c r="O17" s="56"/>
      <c r="P17" s="56" t="s">
        <v>0</v>
      </c>
      <c r="Q17" s="57"/>
      <c r="R17" s="2">
        <f t="shared" ref="R17:R39" si="31">IF(OR(D17="",O17=""),0,IF((O17=D17)*(Q17=F17),3,IF(N17=G17,1,0)))</f>
        <v>0</v>
      </c>
      <c r="S17" s="97">
        <f t="shared" si="3"/>
        <v>2</v>
      </c>
      <c r="T17" s="56">
        <v>5</v>
      </c>
      <c r="U17" s="56" t="s">
        <v>0</v>
      </c>
      <c r="V17" s="57">
        <v>0</v>
      </c>
      <c r="W17" s="2">
        <f t="shared" ref="W17:W39" si="32">IF(OR(D17="",T17=""),0,IF((T17=D17)*(V17=F17),3,IF(S17=G17,1,0)))</f>
        <v>1</v>
      </c>
      <c r="X17" s="97">
        <f t="shared" si="4"/>
        <v>2</v>
      </c>
      <c r="Y17" s="74">
        <v>3</v>
      </c>
      <c r="Z17" s="56" t="s">
        <v>0</v>
      </c>
      <c r="AA17" s="76">
        <v>1</v>
      </c>
      <c r="AB17" s="2">
        <f t="shared" si="21"/>
        <v>1</v>
      </c>
      <c r="AC17" s="97">
        <f t="shared" si="5"/>
        <v>2</v>
      </c>
      <c r="AD17" s="56">
        <v>4</v>
      </c>
      <c r="AE17" s="56" t="s">
        <v>0</v>
      </c>
      <c r="AF17" s="57">
        <v>0</v>
      </c>
      <c r="AG17" s="2">
        <f t="shared" si="22"/>
        <v>1</v>
      </c>
      <c r="AH17" s="97">
        <f t="shared" si="6"/>
        <v>2</v>
      </c>
      <c r="AI17" s="56">
        <v>3</v>
      </c>
      <c r="AJ17" s="56" t="s">
        <v>0</v>
      </c>
      <c r="AK17" s="57">
        <v>0</v>
      </c>
      <c r="AL17" s="2">
        <f t="shared" si="23"/>
        <v>1</v>
      </c>
      <c r="AM17" s="97">
        <f t="shared" si="7"/>
        <v>3</v>
      </c>
      <c r="AN17" s="56"/>
      <c r="AO17" s="56" t="s">
        <v>0</v>
      </c>
      <c r="AP17" s="57"/>
      <c r="AQ17" s="2">
        <f t="shared" si="24"/>
        <v>0</v>
      </c>
      <c r="AR17" s="97">
        <f t="shared" si="8"/>
        <v>2</v>
      </c>
      <c r="AS17" s="56">
        <v>4</v>
      </c>
      <c r="AT17" s="56" t="s">
        <v>0</v>
      </c>
      <c r="AU17" s="57">
        <v>0</v>
      </c>
      <c r="AV17" s="2">
        <f t="shared" si="25"/>
        <v>1</v>
      </c>
      <c r="AW17" s="97">
        <f t="shared" si="9"/>
        <v>3</v>
      </c>
      <c r="AX17" s="56"/>
      <c r="AY17" s="56" t="s">
        <v>0</v>
      </c>
      <c r="AZ17" s="57"/>
      <c r="BA17" s="2">
        <f t="shared" si="10"/>
        <v>0</v>
      </c>
      <c r="BB17" s="97">
        <f t="shared" si="11"/>
        <v>3</v>
      </c>
      <c r="BC17" s="56"/>
      <c r="BD17" s="56" t="s">
        <v>0</v>
      </c>
      <c r="BE17" s="57"/>
      <c r="BF17" s="2">
        <f t="shared" si="12"/>
        <v>0</v>
      </c>
      <c r="BG17" s="97">
        <f t="shared" si="13"/>
        <v>3</v>
      </c>
      <c r="BH17" s="56"/>
      <c r="BI17" s="56" t="s">
        <v>0</v>
      </c>
      <c r="BJ17" s="57"/>
      <c r="BK17" s="2">
        <f t="shared" si="26"/>
        <v>0</v>
      </c>
      <c r="BL17" s="97">
        <f t="shared" si="14"/>
        <v>3</v>
      </c>
      <c r="BM17" s="56"/>
      <c r="BN17" s="56" t="s">
        <v>0</v>
      </c>
      <c r="BO17" s="57"/>
      <c r="BP17" s="2">
        <f t="shared" si="27"/>
        <v>0</v>
      </c>
      <c r="BQ17" s="97">
        <f t="shared" si="15"/>
        <v>3</v>
      </c>
      <c r="BR17" s="56"/>
      <c r="BS17" s="56" t="s">
        <v>0</v>
      </c>
      <c r="BT17" s="57"/>
      <c r="BU17" s="2">
        <f t="shared" si="28"/>
        <v>0</v>
      </c>
      <c r="BV17" s="97">
        <f t="shared" si="16"/>
        <v>3</v>
      </c>
      <c r="BW17" s="56"/>
      <c r="BX17" s="56" t="s">
        <v>0</v>
      </c>
      <c r="BY17" s="57"/>
      <c r="BZ17" s="2">
        <f t="shared" si="29"/>
        <v>0</v>
      </c>
      <c r="CA17" s="97">
        <f t="shared" si="17"/>
        <v>3</v>
      </c>
      <c r="CB17" s="19"/>
      <c r="CC17" s="1" t="s">
        <v>0</v>
      </c>
      <c r="CD17" s="20"/>
      <c r="CE17" s="2">
        <f t="shared" si="30"/>
        <v>0</v>
      </c>
    </row>
    <row r="18" spans="1:83" ht="14.4" hidden="1" outlineLevel="1" thickBot="1">
      <c r="A18" s="71">
        <v>46207.145833333336</v>
      </c>
      <c r="B18" s="32" t="s">
        <v>196</v>
      </c>
      <c r="C18" s="33" t="s">
        <v>64</v>
      </c>
      <c r="D18" s="43">
        <v>1</v>
      </c>
      <c r="E18" s="44" t="s">
        <v>0</v>
      </c>
      <c r="F18" s="43">
        <v>0</v>
      </c>
      <c r="G18">
        <f t="shared" si="0"/>
        <v>2</v>
      </c>
      <c r="H18" s="45"/>
      <c r="I18" s="97">
        <f t="shared" si="1"/>
        <v>2</v>
      </c>
      <c r="J18" s="56">
        <v>1</v>
      </c>
      <c r="K18" s="56" t="s">
        <v>0</v>
      </c>
      <c r="L18" s="57">
        <v>0</v>
      </c>
      <c r="M18" s="2">
        <f t="shared" si="18"/>
        <v>3</v>
      </c>
      <c r="N18" s="97">
        <f t="shared" si="2"/>
        <v>3</v>
      </c>
      <c r="O18" s="56"/>
      <c r="P18" s="56" t="s">
        <v>0</v>
      </c>
      <c r="Q18" s="57"/>
      <c r="R18" s="2">
        <f t="shared" si="31"/>
        <v>0</v>
      </c>
      <c r="S18" s="97">
        <f t="shared" si="3"/>
        <v>3</v>
      </c>
      <c r="T18" s="56">
        <v>2</v>
      </c>
      <c r="U18" s="56" t="s">
        <v>0</v>
      </c>
      <c r="V18" s="57">
        <v>2</v>
      </c>
      <c r="W18" s="2">
        <f t="shared" si="32"/>
        <v>0</v>
      </c>
      <c r="X18" s="97">
        <f t="shared" si="4"/>
        <v>3</v>
      </c>
      <c r="Y18" s="74">
        <v>2</v>
      </c>
      <c r="Z18" s="56" t="s">
        <v>0</v>
      </c>
      <c r="AA18" s="76">
        <v>2</v>
      </c>
      <c r="AB18" s="2">
        <f t="shared" si="21"/>
        <v>0</v>
      </c>
      <c r="AC18" s="97">
        <f t="shared" si="5"/>
        <v>3</v>
      </c>
      <c r="AD18" s="56">
        <v>1</v>
      </c>
      <c r="AE18" s="56" t="s">
        <v>0</v>
      </c>
      <c r="AF18" s="57">
        <v>1</v>
      </c>
      <c r="AG18" s="2">
        <f t="shared" si="22"/>
        <v>0</v>
      </c>
      <c r="AH18" s="97">
        <f t="shared" si="6"/>
        <v>2</v>
      </c>
      <c r="AI18" s="56">
        <v>2</v>
      </c>
      <c r="AJ18" s="56" t="s">
        <v>0</v>
      </c>
      <c r="AK18" s="57">
        <v>0</v>
      </c>
      <c r="AL18" s="2">
        <f t="shared" si="23"/>
        <v>1</v>
      </c>
      <c r="AM18" s="97">
        <f t="shared" si="7"/>
        <v>3</v>
      </c>
      <c r="AN18" s="56"/>
      <c r="AO18" s="56" t="s">
        <v>0</v>
      </c>
      <c r="AP18" s="57"/>
      <c r="AQ18" s="2">
        <f t="shared" si="24"/>
        <v>0</v>
      </c>
      <c r="AR18" s="97">
        <f t="shared" si="8"/>
        <v>2</v>
      </c>
      <c r="AS18" s="56">
        <v>2</v>
      </c>
      <c r="AT18" s="56" t="s">
        <v>0</v>
      </c>
      <c r="AU18" s="57">
        <v>0</v>
      </c>
      <c r="AV18" s="2">
        <f t="shared" si="25"/>
        <v>1</v>
      </c>
      <c r="AW18" s="97">
        <f t="shared" si="9"/>
        <v>3</v>
      </c>
      <c r="AX18" s="56"/>
      <c r="AY18" s="56" t="s">
        <v>0</v>
      </c>
      <c r="AZ18" s="57"/>
      <c r="BA18" s="2">
        <f t="shared" si="10"/>
        <v>0</v>
      </c>
      <c r="BB18" s="97">
        <f t="shared" si="11"/>
        <v>3</v>
      </c>
      <c r="BC18" s="56"/>
      <c r="BD18" s="56" t="s">
        <v>0</v>
      </c>
      <c r="BE18" s="57"/>
      <c r="BF18" s="2">
        <f t="shared" si="12"/>
        <v>0</v>
      </c>
      <c r="BG18" s="97">
        <f t="shared" si="13"/>
        <v>3</v>
      </c>
      <c r="BH18" s="56"/>
      <c r="BI18" s="56" t="s">
        <v>0</v>
      </c>
      <c r="BJ18" s="57"/>
      <c r="BK18" s="2">
        <f t="shared" si="26"/>
        <v>0</v>
      </c>
      <c r="BL18" s="97">
        <f t="shared" si="14"/>
        <v>3</v>
      </c>
      <c r="BM18" s="56"/>
      <c r="BN18" s="56" t="s">
        <v>0</v>
      </c>
      <c r="BO18" s="57"/>
      <c r="BP18" s="2">
        <f t="shared" si="27"/>
        <v>0</v>
      </c>
      <c r="BQ18" s="97">
        <f t="shared" si="15"/>
        <v>3</v>
      </c>
      <c r="BR18" s="56"/>
      <c r="BS18" s="56" t="s">
        <v>0</v>
      </c>
      <c r="BT18" s="57"/>
      <c r="BU18" s="2">
        <f t="shared" si="28"/>
        <v>0</v>
      </c>
      <c r="BV18" s="97">
        <f t="shared" si="16"/>
        <v>3</v>
      </c>
      <c r="BW18" s="56"/>
      <c r="BX18" s="56" t="s">
        <v>0</v>
      </c>
      <c r="BY18" s="57"/>
      <c r="BZ18" s="2">
        <f t="shared" si="29"/>
        <v>0</v>
      </c>
      <c r="CA18" s="97">
        <f t="shared" si="17"/>
        <v>3</v>
      </c>
      <c r="CB18" s="19"/>
      <c r="CC18" s="1" t="s">
        <v>0</v>
      </c>
      <c r="CD18" s="20"/>
      <c r="CE18" s="2">
        <f t="shared" si="30"/>
        <v>0</v>
      </c>
    </row>
    <row r="19" spans="1:83" ht="12.75" customHeight="1" collapsed="1" thickBot="1">
      <c r="A19" s="72" t="s">
        <v>248</v>
      </c>
      <c r="B19" s="48"/>
      <c r="C19" s="49"/>
      <c r="D19" s="50"/>
      <c r="E19" s="51"/>
      <c r="F19" s="50"/>
      <c r="G19" s="46"/>
      <c r="H19" s="46"/>
      <c r="I19" s="98"/>
      <c r="J19" s="58"/>
      <c r="K19" s="58"/>
      <c r="L19" s="59"/>
      <c r="M19" s="52"/>
      <c r="N19" s="98"/>
      <c r="O19" s="58"/>
      <c r="P19" s="58"/>
      <c r="Q19" s="59"/>
      <c r="R19" s="52"/>
      <c r="S19" s="98"/>
      <c r="T19" s="58"/>
      <c r="U19" s="58"/>
      <c r="V19" s="59"/>
      <c r="W19" s="52"/>
      <c r="X19" s="98"/>
      <c r="Y19" s="75"/>
      <c r="Z19" s="58"/>
      <c r="AA19" s="77"/>
      <c r="AB19" s="52"/>
      <c r="AC19" s="98"/>
      <c r="AD19" s="58"/>
      <c r="AE19" s="58"/>
      <c r="AF19" s="59"/>
      <c r="AG19" s="52"/>
      <c r="AH19" s="98"/>
      <c r="AI19" s="58"/>
      <c r="AJ19" s="58"/>
      <c r="AK19" s="59"/>
      <c r="AL19" s="52"/>
      <c r="AM19" s="98"/>
      <c r="AN19" s="58"/>
      <c r="AO19" s="58"/>
      <c r="AP19" s="59"/>
      <c r="AQ19" s="52"/>
      <c r="AR19" s="98"/>
      <c r="AS19" s="58"/>
      <c r="AT19" s="58"/>
      <c r="AU19" s="59"/>
      <c r="AV19" s="52"/>
      <c r="AW19" s="98"/>
      <c r="AX19" s="58"/>
      <c r="AY19" s="58"/>
      <c r="AZ19" s="59"/>
      <c r="BA19" s="52"/>
      <c r="BB19" s="98"/>
      <c r="BC19" s="58"/>
      <c r="BD19" s="58"/>
      <c r="BE19" s="59"/>
      <c r="BF19" s="52"/>
      <c r="BG19" s="98"/>
      <c r="BH19" s="62"/>
      <c r="BI19" s="62"/>
      <c r="BJ19" s="63"/>
      <c r="BK19" s="52"/>
      <c r="BL19" s="98"/>
      <c r="BM19" s="58"/>
      <c r="BN19" s="58"/>
      <c r="BO19" s="59"/>
      <c r="BP19" s="52"/>
      <c r="BQ19" s="98"/>
      <c r="BR19" s="58"/>
      <c r="BS19" s="58"/>
      <c r="BT19" s="59"/>
      <c r="BU19" s="52"/>
      <c r="BV19" s="98"/>
      <c r="BW19" s="58"/>
      <c r="BX19" s="58"/>
      <c r="BY19" s="59"/>
      <c r="BZ19" s="52"/>
      <c r="CA19" s="98"/>
      <c r="CB19" s="53"/>
      <c r="CC19" s="51"/>
      <c r="CD19" s="54"/>
      <c r="CE19" s="52"/>
    </row>
    <row r="20" spans="1:83" ht="16.5" hidden="1" customHeight="1" outlineLevel="1">
      <c r="A20" s="71">
        <v>46207.791666666664</v>
      </c>
      <c r="B20" s="40" t="s">
        <v>159</v>
      </c>
      <c r="C20" s="41" t="s">
        <v>168</v>
      </c>
      <c r="D20" s="112">
        <v>0</v>
      </c>
      <c r="E20" s="44" t="s">
        <v>0</v>
      </c>
      <c r="F20" s="43">
        <v>3</v>
      </c>
      <c r="G20">
        <f t="shared" si="0"/>
        <v>1</v>
      </c>
      <c r="H20" s="45"/>
      <c r="I20" s="97">
        <f t="shared" si="1"/>
        <v>2</v>
      </c>
      <c r="J20" s="56">
        <v>2</v>
      </c>
      <c r="K20" s="56" t="s">
        <v>0</v>
      </c>
      <c r="L20" s="57">
        <v>1</v>
      </c>
      <c r="M20" s="13">
        <f t="shared" si="18"/>
        <v>0</v>
      </c>
      <c r="N20" s="97">
        <f t="shared" si="2"/>
        <v>3</v>
      </c>
      <c r="O20" s="56"/>
      <c r="P20" s="56" t="s">
        <v>0</v>
      </c>
      <c r="Q20" s="57"/>
      <c r="R20" s="13">
        <f t="shared" si="31"/>
        <v>0</v>
      </c>
      <c r="S20" s="97">
        <f t="shared" si="3"/>
        <v>2</v>
      </c>
      <c r="T20" s="56">
        <v>2</v>
      </c>
      <c r="U20" s="56" t="s">
        <v>0</v>
      </c>
      <c r="V20" s="57">
        <v>0</v>
      </c>
      <c r="W20" s="13">
        <f t="shared" si="32"/>
        <v>0</v>
      </c>
      <c r="X20" s="97">
        <f t="shared" si="4"/>
        <v>1</v>
      </c>
      <c r="Y20" s="74">
        <v>2</v>
      </c>
      <c r="Z20" s="56" t="s">
        <v>0</v>
      </c>
      <c r="AA20" s="76">
        <v>3</v>
      </c>
      <c r="AB20" s="13">
        <f t="shared" si="21"/>
        <v>1</v>
      </c>
      <c r="AC20" s="97">
        <f t="shared" si="5"/>
        <v>1</v>
      </c>
      <c r="AD20" s="56">
        <v>2</v>
      </c>
      <c r="AE20" s="56" t="s">
        <v>0</v>
      </c>
      <c r="AF20" s="57">
        <v>3</v>
      </c>
      <c r="AG20" s="13">
        <f t="shared" si="22"/>
        <v>1</v>
      </c>
      <c r="AH20" s="97">
        <f t="shared" si="6"/>
        <v>1</v>
      </c>
      <c r="AI20" s="56">
        <v>0</v>
      </c>
      <c r="AJ20" s="56" t="s">
        <v>0</v>
      </c>
      <c r="AK20" s="57">
        <v>1</v>
      </c>
      <c r="AL20" s="13">
        <f t="shared" si="23"/>
        <v>1</v>
      </c>
      <c r="AM20" s="97">
        <f t="shared" si="7"/>
        <v>3</v>
      </c>
      <c r="AN20" s="56"/>
      <c r="AO20" s="56" t="s">
        <v>0</v>
      </c>
      <c r="AP20" s="57"/>
      <c r="AQ20" s="13">
        <f t="shared" si="24"/>
        <v>0</v>
      </c>
      <c r="AR20" s="97">
        <f t="shared" si="8"/>
        <v>3</v>
      </c>
      <c r="AS20" s="56">
        <v>1</v>
      </c>
      <c r="AT20" s="56" t="s">
        <v>0</v>
      </c>
      <c r="AU20" s="57">
        <v>1</v>
      </c>
      <c r="AV20" s="13">
        <f t="shared" si="25"/>
        <v>0</v>
      </c>
      <c r="AW20" s="97">
        <f t="shared" si="9"/>
        <v>3</v>
      </c>
      <c r="AX20" s="56"/>
      <c r="AY20" s="56" t="s">
        <v>0</v>
      </c>
      <c r="AZ20" s="57"/>
      <c r="BA20" s="13">
        <f t="shared" ref="BA20:BA27" si="33">IF(OR(D20="",AX20=""),0,IF((AX20=D20)*(AZ20=F20),3,IF(AW20=G20,1,0)))</f>
        <v>0</v>
      </c>
      <c r="BB20" s="97">
        <f t="shared" si="11"/>
        <v>3</v>
      </c>
      <c r="BC20" s="56"/>
      <c r="BD20" s="56" t="s">
        <v>0</v>
      </c>
      <c r="BE20" s="57"/>
      <c r="BF20" s="13">
        <f t="shared" ref="BF20:BF27" si="34">IF(OR(D20="",BC20=""),0,IF((BC20=D20)*(BE20=F20),3,IF(BB20=G20,1,0)))</f>
        <v>0</v>
      </c>
      <c r="BG20" s="97">
        <f t="shared" si="13"/>
        <v>3</v>
      </c>
      <c r="BH20" s="64"/>
      <c r="BI20" s="64" t="s">
        <v>0</v>
      </c>
      <c r="BJ20" s="65"/>
      <c r="BK20" s="13">
        <f>IF(OR(D20="",BH20=""),0,IF((BH20=D20)*(BJ20=F20),3,IF(BG20=G20,1,0)))</f>
        <v>0</v>
      </c>
      <c r="BL20" s="97">
        <f t="shared" si="14"/>
        <v>3</v>
      </c>
      <c r="BM20" s="56"/>
      <c r="BN20" s="56" t="s">
        <v>0</v>
      </c>
      <c r="BO20" s="57"/>
      <c r="BP20" s="13">
        <f>IF(OR(D20="",BM20=""),0,IF((BM20=D20)*(BO20=F20),3,IF(BL20=G20,1,0)))</f>
        <v>0</v>
      </c>
      <c r="BQ20" s="97">
        <f t="shared" si="15"/>
        <v>3</v>
      </c>
      <c r="BR20" s="56"/>
      <c r="BS20" s="56" t="s">
        <v>0</v>
      </c>
      <c r="BT20" s="57"/>
      <c r="BU20" s="13">
        <f>IF(OR(D20="",BR20=""),0,IF((BR20=D20)*(BT20=F20),3,IF(BQ20=G20,1,0)))</f>
        <v>0</v>
      </c>
      <c r="BV20" s="97">
        <f t="shared" si="16"/>
        <v>3</v>
      </c>
      <c r="BW20" s="56"/>
      <c r="BX20" s="56" t="s">
        <v>0</v>
      </c>
      <c r="BY20" s="57"/>
      <c r="BZ20" s="13">
        <f>IF(OR(D20="",BW20=""),0,IF((BW20=D20)*(BY20=F20),3,IF(BV20=G20,1,0)))</f>
        <v>0</v>
      </c>
      <c r="CA20" s="97">
        <f t="shared" si="17"/>
        <v>3</v>
      </c>
      <c r="CB20" s="25"/>
      <c r="CC20" s="12" t="s">
        <v>0</v>
      </c>
      <c r="CD20" s="26"/>
      <c r="CE20" s="13">
        <f>IF(OR(D20="",CB20=""),0,IF((CB20=D20)*(CD20=F20),3,IF(CA20=G20,1,0)))</f>
        <v>0</v>
      </c>
    </row>
    <row r="21" spans="1:83" ht="13.8" hidden="1" outlineLevel="1">
      <c r="A21" s="71">
        <v>46207.958333333336</v>
      </c>
      <c r="B21" s="40" t="s">
        <v>163</v>
      </c>
      <c r="C21" s="41" t="s">
        <v>186</v>
      </c>
      <c r="D21" s="43">
        <v>0</v>
      </c>
      <c r="E21" s="44" t="s">
        <v>0</v>
      </c>
      <c r="F21" s="43">
        <v>1</v>
      </c>
      <c r="G21">
        <f t="shared" si="0"/>
        <v>1</v>
      </c>
      <c r="H21" s="45"/>
      <c r="I21" s="97">
        <f t="shared" si="1"/>
        <v>1</v>
      </c>
      <c r="J21" s="56">
        <v>1</v>
      </c>
      <c r="K21" s="56" t="s">
        <v>0</v>
      </c>
      <c r="L21" s="57">
        <v>3</v>
      </c>
      <c r="M21" s="2">
        <f t="shared" si="18"/>
        <v>1</v>
      </c>
      <c r="N21" s="97">
        <f t="shared" si="2"/>
        <v>3</v>
      </c>
      <c r="O21" s="56"/>
      <c r="P21" s="56" t="s">
        <v>0</v>
      </c>
      <c r="Q21" s="57"/>
      <c r="R21" s="2">
        <f t="shared" si="31"/>
        <v>0</v>
      </c>
      <c r="S21" s="97">
        <f t="shared" si="3"/>
        <v>1</v>
      </c>
      <c r="T21" s="56">
        <v>0</v>
      </c>
      <c r="U21" s="56" t="s">
        <v>0</v>
      </c>
      <c r="V21" s="57">
        <v>3</v>
      </c>
      <c r="W21" s="2">
        <f t="shared" si="32"/>
        <v>1</v>
      </c>
      <c r="X21" s="97">
        <f t="shared" si="4"/>
        <v>1</v>
      </c>
      <c r="Y21" s="74">
        <v>1</v>
      </c>
      <c r="Z21" s="56" t="s">
        <v>0</v>
      </c>
      <c r="AA21" s="76">
        <v>3</v>
      </c>
      <c r="AB21" s="2">
        <f t="shared" si="21"/>
        <v>1</v>
      </c>
      <c r="AC21" s="97">
        <f t="shared" si="5"/>
        <v>1</v>
      </c>
      <c r="AD21" s="56">
        <v>0</v>
      </c>
      <c r="AE21" s="56" t="s">
        <v>0</v>
      </c>
      <c r="AF21" s="57">
        <v>2</v>
      </c>
      <c r="AG21" s="2">
        <f t="shared" si="22"/>
        <v>1</v>
      </c>
      <c r="AH21" s="97">
        <f t="shared" si="6"/>
        <v>1</v>
      </c>
      <c r="AI21" s="56">
        <v>0</v>
      </c>
      <c r="AJ21" s="56" t="s">
        <v>0</v>
      </c>
      <c r="AK21" s="57">
        <v>4</v>
      </c>
      <c r="AL21" s="2">
        <f t="shared" si="23"/>
        <v>1</v>
      </c>
      <c r="AM21" s="97">
        <f t="shared" si="7"/>
        <v>3</v>
      </c>
      <c r="AN21" s="56"/>
      <c r="AO21" s="56" t="s">
        <v>0</v>
      </c>
      <c r="AP21" s="57"/>
      <c r="AQ21" s="2">
        <f t="shared" si="24"/>
        <v>0</v>
      </c>
      <c r="AR21" s="97">
        <f t="shared" si="8"/>
        <v>1</v>
      </c>
      <c r="AS21" s="56">
        <v>1</v>
      </c>
      <c r="AT21" s="56" t="s">
        <v>0</v>
      </c>
      <c r="AU21" s="57">
        <v>3</v>
      </c>
      <c r="AV21" s="2">
        <f t="shared" si="25"/>
        <v>1</v>
      </c>
      <c r="AW21" s="97">
        <f t="shared" si="9"/>
        <v>3</v>
      </c>
      <c r="AX21" s="56"/>
      <c r="AY21" s="56" t="s">
        <v>0</v>
      </c>
      <c r="AZ21" s="57"/>
      <c r="BA21" s="2">
        <f t="shared" si="33"/>
        <v>0</v>
      </c>
      <c r="BB21" s="97">
        <f t="shared" si="11"/>
        <v>3</v>
      </c>
      <c r="BC21" s="56"/>
      <c r="BD21" s="56" t="s">
        <v>0</v>
      </c>
      <c r="BE21" s="57"/>
      <c r="BF21" s="2">
        <f t="shared" si="34"/>
        <v>0</v>
      </c>
      <c r="BG21" s="97">
        <f t="shared" si="13"/>
        <v>3</v>
      </c>
      <c r="BH21" s="64"/>
      <c r="BI21" s="64" t="s">
        <v>0</v>
      </c>
      <c r="BJ21" s="65"/>
      <c r="BK21" s="2">
        <f t="shared" ref="BK21:BK27" si="35">IF(OR(D21="",BH21=""),0,IF((BH21=D21)*(BJ21=F21),3,IF(BG21=G21,1,0)))</f>
        <v>0</v>
      </c>
      <c r="BL21" s="97">
        <f t="shared" si="14"/>
        <v>3</v>
      </c>
      <c r="BM21" s="56"/>
      <c r="BN21" s="56" t="s">
        <v>0</v>
      </c>
      <c r="BO21" s="57"/>
      <c r="BP21" s="2">
        <f t="shared" ref="BP21:BP27" si="36">IF(OR(D21="",BM21=""),0,IF((BM21=D21)*(BO21=F21),3,IF(BL21=G21,1,0)))</f>
        <v>0</v>
      </c>
      <c r="BQ21" s="97">
        <f t="shared" si="15"/>
        <v>3</v>
      </c>
      <c r="BR21" s="56"/>
      <c r="BS21" s="56" t="s">
        <v>0</v>
      </c>
      <c r="BT21" s="57"/>
      <c r="BU21" s="2">
        <f t="shared" ref="BU21:BU27" si="37">IF(OR(D21="",BR21=""),0,IF((BR21=D21)*(BT21=F21),3,IF(BQ21=G21,1,0)))</f>
        <v>0</v>
      </c>
      <c r="BV21" s="97">
        <f t="shared" si="16"/>
        <v>3</v>
      </c>
      <c r="BW21" s="56"/>
      <c r="BX21" s="56" t="s">
        <v>0</v>
      </c>
      <c r="BY21" s="57"/>
      <c r="BZ21" s="2">
        <f t="shared" ref="BZ21:BZ27" si="38">IF(OR(D21="",BW21=""),0,IF((BW21=D21)*(BY21=F21),3,IF(BV21=G21,1,0)))</f>
        <v>0</v>
      </c>
      <c r="CA21" s="97">
        <f t="shared" si="17"/>
        <v>3</v>
      </c>
      <c r="CB21" s="25"/>
      <c r="CC21" s="12" t="s">
        <v>0</v>
      </c>
      <c r="CD21" s="26"/>
      <c r="CE21" s="2">
        <f t="shared" ref="CE21:CE27" si="39">IF(OR(D21="",CB21=""),0,IF((CB21=D21)*(CD21=F21),3,IF(CA21=G21,1,0)))</f>
        <v>0</v>
      </c>
    </row>
    <row r="22" spans="1:83" ht="13.8" hidden="1" outlineLevel="1">
      <c r="A22" s="71">
        <v>46208.916666666664</v>
      </c>
      <c r="B22" s="40" t="s">
        <v>167</v>
      </c>
      <c r="C22" s="41" t="s">
        <v>188</v>
      </c>
      <c r="D22" s="43">
        <v>1</v>
      </c>
      <c r="E22" s="44" t="s">
        <v>0</v>
      </c>
      <c r="F22" s="43">
        <v>2</v>
      </c>
      <c r="G22">
        <f t="shared" si="0"/>
        <v>1</v>
      </c>
      <c r="H22" s="45"/>
      <c r="I22" s="97">
        <f t="shared" si="1"/>
        <v>2</v>
      </c>
      <c r="J22" s="56">
        <v>2</v>
      </c>
      <c r="K22" s="56" t="s">
        <v>0</v>
      </c>
      <c r="L22" s="57">
        <v>1</v>
      </c>
      <c r="M22" s="2">
        <f t="shared" si="18"/>
        <v>0</v>
      </c>
      <c r="N22" s="97">
        <f t="shared" si="2"/>
        <v>3</v>
      </c>
      <c r="O22" s="56"/>
      <c r="P22" s="56" t="s">
        <v>0</v>
      </c>
      <c r="Q22" s="57"/>
      <c r="R22" s="2">
        <f t="shared" si="31"/>
        <v>0</v>
      </c>
      <c r="S22" s="97">
        <f t="shared" si="3"/>
        <v>2</v>
      </c>
      <c r="T22" s="56">
        <v>2</v>
      </c>
      <c r="U22" s="56" t="s">
        <v>0</v>
      </c>
      <c r="V22" s="57">
        <v>1</v>
      </c>
      <c r="W22" s="2">
        <f t="shared" si="32"/>
        <v>0</v>
      </c>
      <c r="X22" s="97">
        <f t="shared" si="4"/>
        <v>2</v>
      </c>
      <c r="Y22" s="74">
        <v>2</v>
      </c>
      <c r="Z22" s="56" t="s">
        <v>0</v>
      </c>
      <c r="AA22" s="76">
        <v>1</v>
      </c>
      <c r="AB22" s="2">
        <f t="shared" si="21"/>
        <v>0</v>
      </c>
      <c r="AC22" s="97">
        <f t="shared" si="5"/>
        <v>3</v>
      </c>
      <c r="AD22" s="56">
        <v>2</v>
      </c>
      <c r="AE22" s="56" t="s">
        <v>0</v>
      </c>
      <c r="AF22" s="57">
        <v>2</v>
      </c>
      <c r="AG22" s="2">
        <f t="shared" si="22"/>
        <v>0</v>
      </c>
      <c r="AH22" s="97">
        <f t="shared" si="6"/>
        <v>1</v>
      </c>
      <c r="AI22" s="56">
        <v>1</v>
      </c>
      <c r="AJ22" s="56" t="s">
        <v>0</v>
      </c>
      <c r="AK22" s="57">
        <v>2</v>
      </c>
      <c r="AL22" s="2">
        <f t="shared" si="23"/>
        <v>3</v>
      </c>
      <c r="AM22" s="97">
        <f t="shared" si="7"/>
        <v>3</v>
      </c>
      <c r="AN22" s="56"/>
      <c r="AO22" s="56" t="s">
        <v>0</v>
      </c>
      <c r="AP22" s="57"/>
      <c r="AQ22" s="2">
        <f t="shared" si="24"/>
        <v>0</v>
      </c>
      <c r="AR22" s="97">
        <f t="shared" si="8"/>
        <v>2</v>
      </c>
      <c r="AS22" s="56">
        <v>3</v>
      </c>
      <c r="AT22" s="56" t="s">
        <v>0</v>
      </c>
      <c r="AU22" s="57">
        <v>1</v>
      </c>
      <c r="AV22" s="2">
        <f t="shared" si="25"/>
        <v>0</v>
      </c>
      <c r="AW22" s="97">
        <f t="shared" si="9"/>
        <v>3</v>
      </c>
      <c r="AX22" s="56"/>
      <c r="AY22" s="56" t="s">
        <v>0</v>
      </c>
      <c r="AZ22" s="57"/>
      <c r="BA22" s="2">
        <f t="shared" si="33"/>
        <v>0</v>
      </c>
      <c r="BB22" s="97">
        <f t="shared" si="11"/>
        <v>3</v>
      </c>
      <c r="BC22" s="56"/>
      <c r="BD22" s="56" t="s">
        <v>0</v>
      </c>
      <c r="BE22" s="57"/>
      <c r="BF22" s="2">
        <f t="shared" si="34"/>
        <v>0</v>
      </c>
      <c r="BG22" s="97">
        <f t="shared" si="13"/>
        <v>3</v>
      </c>
      <c r="BH22" s="64"/>
      <c r="BI22" s="64" t="s">
        <v>0</v>
      </c>
      <c r="BJ22" s="65"/>
      <c r="BK22" s="2">
        <f t="shared" si="35"/>
        <v>0</v>
      </c>
      <c r="BL22" s="97">
        <f t="shared" si="14"/>
        <v>3</v>
      </c>
      <c r="BM22" s="56"/>
      <c r="BN22" s="56" t="s">
        <v>0</v>
      </c>
      <c r="BO22" s="57"/>
      <c r="BP22" s="2">
        <f t="shared" si="36"/>
        <v>0</v>
      </c>
      <c r="BQ22" s="97">
        <f t="shared" si="15"/>
        <v>3</v>
      </c>
      <c r="BR22" s="56"/>
      <c r="BS22" s="56" t="s">
        <v>0</v>
      </c>
      <c r="BT22" s="57"/>
      <c r="BU22" s="2">
        <f t="shared" si="37"/>
        <v>0</v>
      </c>
      <c r="BV22" s="97">
        <f t="shared" si="16"/>
        <v>3</v>
      </c>
      <c r="BW22" s="56"/>
      <c r="BX22" s="56" t="s">
        <v>0</v>
      </c>
      <c r="BY22" s="57"/>
      <c r="BZ22" s="2">
        <f t="shared" si="38"/>
        <v>0</v>
      </c>
      <c r="CA22" s="97">
        <f t="shared" si="17"/>
        <v>3</v>
      </c>
      <c r="CB22" s="25"/>
      <c r="CC22" s="12" t="s">
        <v>0</v>
      </c>
      <c r="CD22" s="26"/>
      <c r="CE22" s="2">
        <f t="shared" si="39"/>
        <v>0</v>
      </c>
    </row>
    <row r="23" spans="1:83" ht="13.8" hidden="1" outlineLevel="1">
      <c r="A23" s="71">
        <v>46209.083333333336</v>
      </c>
      <c r="B23" s="40" t="s">
        <v>152</v>
      </c>
      <c r="C23" s="41" t="s">
        <v>194</v>
      </c>
      <c r="D23" s="43">
        <v>2</v>
      </c>
      <c r="E23" s="44" t="s">
        <v>0</v>
      </c>
      <c r="F23" s="43">
        <v>3</v>
      </c>
      <c r="G23">
        <f t="shared" si="0"/>
        <v>1</v>
      </c>
      <c r="H23" s="45"/>
      <c r="I23" s="97">
        <f t="shared" si="1"/>
        <v>3</v>
      </c>
      <c r="J23" s="56">
        <v>2</v>
      </c>
      <c r="K23" s="56" t="s">
        <v>0</v>
      </c>
      <c r="L23" s="57">
        <v>2</v>
      </c>
      <c r="M23" s="2">
        <f t="shared" si="18"/>
        <v>0</v>
      </c>
      <c r="N23" s="97">
        <f t="shared" si="2"/>
        <v>3</v>
      </c>
      <c r="O23" s="56"/>
      <c r="P23" s="56" t="s">
        <v>0</v>
      </c>
      <c r="Q23" s="57"/>
      <c r="R23" s="2">
        <f t="shared" si="31"/>
        <v>0</v>
      </c>
      <c r="S23" s="97">
        <f t="shared" si="3"/>
        <v>1</v>
      </c>
      <c r="T23" s="56">
        <v>0</v>
      </c>
      <c r="U23" s="56" t="s">
        <v>0</v>
      </c>
      <c r="V23" s="57">
        <v>2</v>
      </c>
      <c r="W23" s="2">
        <f t="shared" si="32"/>
        <v>1</v>
      </c>
      <c r="X23" s="97">
        <f t="shared" si="4"/>
        <v>1</v>
      </c>
      <c r="Y23" s="74">
        <v>2</v>
      </c>
      <c r="Z23" s="56" t="s">
        <v>0</v>
      </c>
      <c r="AA23" s="76">
        <v>3</v>
      </c>
      <c r="AB23" s="2">
        <f t="shared" si="21"/>
        <v>3</v>
      </c>
      <c r="AC23" s="97">
        <f t="shared" si="5"/>
        <v>3</v>
      </c>
      <c r="AD23" s="56">
        <v>2</v>
      </c>
      <c r="AE23" s="56" t="s">
        <v>0</v>
      </c>
      <c r="AF23" s="57">
        <v>2</v>
      </c>
      <c r="AG23" s="2">
        <f t="shared" si="22"/>
        <v>0</v>
      </c>
      <c r="AH23" s="97">
        <f t="shared" si="6"/>
        <v>1</v>
      </c>
      <c r="AI23" s="56">
        <v>1</v>
      </c>
      <c r="AJ23" s="56" t="s">
        <v>0</v>
      </c>
      <c r="AK23" s="57">
        <v>2</v>
      </c>
      <c r="AL23" s="2">
        <f t="shared" si="23"/>
        <v>1</v>
      </c>
      <c r="AM23" s="97">
        <f t="shared" si="7"/>
        <v>3</v>
      </c>
      <c r="AN23" s="56"/>
      <c r="AO23" s="56" t="s">
        <v>0</v>
      </c>
      <c r="AP23" s="57"/>
      <c r="AQ23" s="2">
        <f t="shared" si="24"/>
        <v>0</v>
      </c>
      <c r="AR23" s="97">
        <f t="shared" si="8"/>
        <v>1</v>
      </c>
      <c r="AS23" s="56">
        <v>1</v>
      </c>
      <c r="AT23" s="56" t="s">
        <v>0</v>
      </c>
      <c r="AU23" s="57">
        <v>2</v>
      </c>
      <c r="AV23" s="2">
        <f t="shared" si="25"/>
        <v>1</v>
      </c>
      <c r="AW23" s="97">
        <f t="shared" si="9"/>
        <v>3</v>
      </c>
      <c r="AX23" s="56"/>
      <c r="AY23" s="56" t="s">
        <v>0</v>
      </c>
      <c r="AZ23" s="57"/>
      <c r="BA23" s="2">
        <f t="shared" si="33"/>
        <v>0</v>
      </c>
      <c r="BB23" s="97">
        <f t="shared" si="11"/>
        <v>3</v>
      </c>
      <c r="BC23" s="56"/>
      <c r="BD23" s="56" t="s">
        <v>0</v>
      </c>
      <c r="BE23" s="57"/>
      <c r="BF23" s="2">
        <f t="shared" si="34"/>
        <v>0</v>
      </c>
      <c r="BG23" s="97">
        <f t="shared" si="13"/>
        <v>3</v>
      </c>
      <c r="BH23" s="64"/>
      <c r="BI23" s="64" t="s">
        <v>0</v>
      </c>
      <c r="BJ23" s="65"/>
      <c r="BK23" s="2">
        <f t="shared" si="35"/>
        <v>0</v>
      </c>
      <c r="BL23" s="97">
        <f t="shared" si="14"/>
        <v>3</v>
      </c>
      <c r="BM23" s="56"/>
      <c r="BN23" s="56" t="s">
        <v>0</v>
      </c>
      <c r="BO23" s="57"/>
      <c r="BP23" s="2">
        <f t="shared" si="36"/>
        <v>0</v>
      </c>
      <c r="BQ23" s="97">
        <f t="shared" si="15"/>
        <v>3</v>
      </c>
      <c r="BR23" s="56"/>
      <c r="BS23" s="56" t="s">
        <v>0</v>
      </c>
      <c r="BT23" s="57"/>
      <c r="BU23" s="2">
        <f t="shared" si="37"/>
        <v>0</v>
      </c>
      <c r="BV23" s="97">
        <f t="shared" si="16"/>
        <v>3</v>
      </c>
      <c r="BW23" s="56"/>
      <c r="BX23" s="56" t="s">
        <v>0</v>
      </c>
      <c r="BY23" s="57"/>
      <c r="BZ23" s="2">
        <f t="shared" si="38"/>
        <v>0</v>
      </c>
      <c r="CA23" s="97">
        <f t="shared" si="17"/>
        <v>3</v>
      </c>
      <c r="CB23" s="25"/>
      <c r="CC23" s="12" t="s">
        <v>0</v>
      </c>
      <c r="CD23" s="26"/>
      <c r="CE23" s="2">
        <f t="shared" si="39"/>
        <v>0</v>
      </c>
    </row>
    <row r="24" spans="1:83" ht="13.8" hidden="1" outlineLevel="1">
      <c r="A24" s="71">
        <v>46209.875</v>
      </c>
      <c r="B24" s="40" t="s">
        <v>192</v>
      </c>
      <c r="C24" s="41" t="s">
        <v>179</v>
      </c>
      <c r="D24" s="43">
        <v>0</v>
      </c>
      <c r="E24" s="44" t="s">
        <v>0</v>
      </c>
      <c r="F24" s="43">
        <v>1</v>
      </c>
      <c r="G24">
        <f t="shared" si="0"/>
        <v>1</v>
      </c>
      <c r="H24" s="45"/>
      <c r="I24" s="97">
        <f t="shared" si="1"/>
        <v>1</v>
      </c>
      <c r="J24" s="56">
        <v>2</v>
      </c>
      <c r="K24" s="56" t="s">
        <v>0</v>
      </c>
      <c r="L24" s="57">
        <v>3</v>
      </c>
      <c r="M24" s="2">
        <f t="shared" si="18"/>
        <v>1</v>
      </c>
      <c r="N24" s="97">
        <f t="shared" si="2"/>
        <v>3</v>
      </c>
      <c r="O24" s="56"/>
      <c r="P24" s="56" t="s">
        <v>0</v>
      </c>
      <c r="Q24" s="57"/>
      <c r="R24" s="2">
        <f t="shared" si="31"/>
        <v>0</v>
      </c>
      <c r="S24" s="97">
        <f t="shared" si="3"/>
        <v>3</v>
      </c>
      <c r="T24" s="56">
        <v>1</v>
      </c>
      <c r="U24" s="56" t="s">
        <v>0</v>
      </c>
      <c r="V24" s="57">
        <v>1</v>
      </c>
      <c r="W24" s="2">
        <f t="shared" si="32"/>
        <v>0</v>
      </c>
      <c r="X24" s="97">
        <f t="shared" si="4"/>
        <v>1</v>
      </c>
      <c r="Y24" s="74">
        <v>2</v>
      </c>
      <c r="Z24" s="56" t="s">
        <v>0</v>
      </c>
      <c r="AA24" s="76">
        <v>3</v>
      </c>
      <c r="AB24" s="2">
        <f t="shared" si="21"/>
        <v>1</v>
      </c>
      <c r="AC24" s="97">
        <f t="shared" si="5"/>
        <v>3</v>
      </c>
      <c r="AD24" s="56">
        <v>2</v>
      </c>
      <c r="AE24" s="56" t="s">
        <v>0</v>
      </c>
      <c r="AF24" s="57">
        <v>2</v>
      </c>
      <c r="AG24" s="2">
        <f t="shared" si="22"/>
        <v>0</v>
      </c>
      <c r="AH24" s="97">
        <f t="shared" si="6"/>
        <v>2</v>
      </c>
      <c r="AI24" s="56">
        <v>2</v>
      </c>
      <c r="AJ24" s="56" t="s">
        <v>0</v>
      </c>
      <c r="AK24" s="57">
        <v>1</v>
      </c>
      <c r="AL24" s="2">
        <f t="shared" si="23"/>
        <v>0</v>
      </c>
      <c r="AM24" s="97">
        <f t="shared" si="7"/>
        <v>3</v>
      </c>
      <c r="AN24" s="56"/>
      <c r="AO24" s="56" t="s">
        <v>0</v>
      </c>
      <c r="AP24" s="57"/>
      <c r="AQ24" s="2">
        <f t="shared" si="24"/>
        <v>0</v>
      </c>
      <c r="AR24" s="97">
        <f t="shared" si="8"/>
        <v>1</v>
      </c>
      <c r="AS24" s="56">
        <v>1</v>
      </c>
      <c r="AT24" s="56" t="s">
        <v>0</v>
      </c>
      <c r="AU24" s="57">
        <v>2</v>
      </c>
      <c r="AV24" s="2">
        <f t="shared" si="25"/>
        <v>1</v>
      </c>
      <c r="AW24" s="97">
        <f t="shared" si="9"/>
        <v>3</v>
      </c>
      <c r="AX24" s="56"/>
      <c r="AY24" s="56" t="s">
        <v>0</v>
      </c>
      <c r="AZ24" s="57"/>
      <c r="BA24" s="2">
        <f t="shared" si="33"/>
        <v>0</v>
      </c>
      <c r="BB24" s="97">
        <f t="shared" si="11"/>
        <v>3</v>
      </c>
      <c r="BC24" s="56"/>
      <c r="BD24" s="56" t="s">
        <v>0</v>
      </c>
      <c r="BE24" s="57"/>
      <c r="BF24" s="2">
        <f t="shared" si="34"/>
        <v>0</v>
      </c>
      <c r="BG24" s="97">
        <f t="shared" si="13"/>
        <v>3</v>
      </c>
      <c r="BH24" s="64"/>
      <c r="BI24" s="64" t="s">
        <v>0</v>
      </c>
      <c r="BJ24" s="65"/>
      <c r="BK24" s="2">
        <f t="shared" si="35"/>
        <v>0</v>
      </c>
      <c r="BL24" s="97">
        <f t="shared" si="14"/>
        <v>3</v>
      </c>
      <c r="BM24" s="56"/>
      <c r="BN24" s="56" t="s">
        <v>0</v>
      </c>
      <c r="BO24" s="57"/>
      <c r="BP24" s="2">
        <f t="shared" si="36"/>
        <v>0</v>
      </c>
      <c r="BQ24" s="97">
        <f t="shared" si="15"/>
        <v>3</v>
      </c>
      <c r="BR24" s="56"/>
      <c r="BS24" s="56" t="s">
        <v>0</v>
      </c>
      <c r="BT24" s="57"/>
      <c r="BU24" s="2">
        <f t="shared" si="37"/>
        <v>0</v>
      </c>
      <c r="BV24" s="97">
        <f t="shared" si="16"/>
        <v>3</v>
      </c>
      <c r="BW24" s="56"/>
      <c r="BX24" s="56" t="s">
        <v>0</v>
      </c>
      <c r="BY24" s="57"/>
      <c r="BZ24" s="2">
        <f t="shared" si="38"/>
        <v>0</v>
      </c>
      <c r="CA24" s="97">
        <f t="shared" si="17"/>
        <v>3</v>
      </c>
      <c r="CB24" s="25"/>
      <c r="CC24" s="12" t="s">
        <v>0</v>
      </c>
      <c r="CD24" s="26"/>
      <c r="CE24" s="2">
        <f t="shared" si="39"/>
        <v>0</v>
      </c>
    </row>
    <row r="25" spans="1:83" ht="13.8" hidden="1" outlineLevel="1">
      <c r="A25" s="71">
        <v>46210.083333333336</v>
      </c>
      <c r="B25" s="40" t="s">
        <v>162</v>
      </c>
      <c r="C25" s="41" t="s">
        <v>181</v>
      </c>
      <c r="D25" s="43">
        <v>1</v>
      </c>
      <c r="E25" s="44" t="s">
        <v>0</v>
      </c>
      <c r="F25" s="43">
        <v>4</v>
      </c>
      <c r="G25">
        <f t="shared" si="0"/>
        <v>1</v>
      </c>
      <c r="H25" s="45"/>
      <c r="I25" s="97">
        <f t="shared" si="1"/>
        <v>1</v>
      </c>
      <c r="J25" s="56">
        <v>1</v>
      </c>
      <c r="K25" s="56" t="s">
        <v>0</v>
      </c>
      <c r="L25" s="57">
        <v>2</v>
      </c>
      <c r="M25" s="2">
        <f t="shared" si="18"/>
        <v>1</v>
      </c>
      <c r="N25" s="97">
        <f t="shared" si="2"/>
        <v>3</v>
      </c>
      <c r="O25" s="56"/>
      <c r="P25" s="56" t="s">
        <v>0</v>
      </c>
      <c r="Q25" s="57"/>
      <c r="R25" s="2">
        <f t="shared" si="31"/>
        <v>0</v>
      </c>
      <c r="S25" s="97">
        <f t="shared" si="3"/>
        <v>1</v>
      </c>
      <c r="T25" s="56">
        <v>0</v>
      </c>
      <c r="U25" s="56" t="s">
        <v>0</v>
      </c>
      <c r="V25" s="57">
        <v>1</v>
      </c>
      <c r="W25" s="2">
        <f t="shared" si="32"/>
        <v>1</v>
      </c>
      <c r="X25" s="97">
        <f t="shared" si="4"/>
        <v>2</v>
      </c>
      <c r="Y25" s="74">
        <v>2</v>
      </c>
      <c r="Z25" s="56" t="s">
        <v>0</v>
      </c>
      <c r="AA25" s="76">
        <v>0</v>
      </c>
      <c r="AB25" s="2">
        <f t="shared" si="21"/>
        <v>0</v>
      </c>
      <c r="AC25" s="97">
        <f t="shared" si="5"/>
        <v>3</v>
      </c>
      <c r="AD25" s="56">
        <v>2</v>
      </c>
      <c r="AE25" s="56" t="s">
        <v>0</v>
      </c>
      <c r="AF25" s="57">
        <v>2</v>
      </c>
      <c r="AG25" s="2">
        <f t="shared" si="22"/>
        <v>0</v>
      </c>
      <c r="AH25" s="97">
        <f t="shared" si="6"/>
        <v>2</v>
      </c>
      <c r="AI25" s="56">
        <v>2</v>
      </c>
      <c r="AJ25" s="56" t="s">
        <v>0</v>
      </c>
      <c r="AK25" s="57">
        <v>0</v>
      </c>
      <c r="AL25" s="2">
        <f t="shared" si="23"/>
        <v>0</v>
      </c>
      <c r="AM25" s="97">
        <f t="shared" si="7"/>
        <v>3</v>
      </c>
      <c r="AN25" s="56"/>
      <c r="AO25" s="56" t="s">
        <v>0</v>
      </c>
      <c r="AP25" s="57"/>
      <c r="AQ25" s="2">
        <f t="shared" si="24"/>
        <v>0</v>
      </c>
      <c r="AR25" s="97">
        <f t="shared" si="8"/>
        <v>2</v>
      </c>
      <c r="AS25" s="56">
        <v>3</v>
      </c>
      <c r="AT25" s="56" t="s">
        <v>0</v>
      </c>
      <c r="AU25" s="57">
        <v>0</v>
      </c>
      <c r="AV25" s="2">
        <f t="shared" si="25"/>
        <v>0</v>
      </c>
      <c r="AW25" s="97">
        <f t="shared" si="9"/>
        <v>3</v>
      </c>
      <c r="AX25" s="56"/>
      <c r="AY25" s="56" t="s">
        <v>0</v>
      </c>
      <c r="AZ25" s="57"/>
      <c r="BA25" s="2">
        <f t="shared" si="33"/>
        <v>0</v>
      </c>
      <c r="BB25" s="97">
        <f t="shared" si="11"/>
        <v>3</v>
      </c>
      <c r="BC25" s="56"/>
      <c r="BD25" s="56" t="s">
        <v>0</v>
      </c>
      <c r="BE25" s="57"/>
      <c r="BF25" s="2">
        <f t="shared" si="34"/>
        <v>0</v>
      </c>
      <c r="BG25" s="97">
        <f t="shared" si="13"/>
        <v>3</v>
      </c>
      <c r="BH25" s="64"/>
      <c r="BI25" s="64" t="s">
        <v>0</v>
      </c>
      <c r="BJ25" s="65"/>
      <c r="BK25" s="2">
        <f t="shared" si="35"/>
        <v>0</v>
      </c>
      <c r="BL25" s="97">
        <f t="shared" si="14"/>
        <v>3</v>
      </c>
      <c r="BM25" s="56"/>
      <c r="BN25" s="56" t="s">
        <v>0</v>
      </c>
      <c r="BO25" s="57"/>
      <c r="BP25" s="2">
        <f t="shared" si="36"/>
        <v>0</v>
      </c>
      <c r="BQ25" s="97">
        <f t="shared" si="15"/>
        <v>3</v>
      </c>
      <c r="BR25" s="56"/>
      <c r="BS25" s="56" t="s">
        <v>0</v>
      </c>
      <c r="BT25" s="57"/>
      <c r="BU25" s="2">
        <f t="shared" si="37"/>
        <v>0</v>
      </c>
      <c r="BV25" s="97">
        <f t="shared" si="16"/>
        <v>3</v>
      </c>
      <c r="BW25" s="56"/>
      <c r="BX25" s="56" t="s">
        <v>0</v>
      </c>
      <c r="BY25" s="57"/>
      <c r="BZ25" s="2">
        <f t="shared" si="38"/>
        <v>0</v>
      </c>
      <c r="CA25" s="97">
        <f t="shared" si="17"/>
        <v>3</v>
      </c>
      <c r="CB25" s="25"/>
      <c r="CC25" s="12" t="s">
        <v>0</v>
      </c>
      <c r="CD25" s="26"/>
      <c r="CE25" s="2">
        <f t="shared" si="39"/>
        <v>0</v>
      </c>
    </row>
    <row r="26" spans="1:83" ht="13.8" hidden="1" outlineLevel="1">
      <c r="A26" s="71">
        <v>46210.75</v>
      </c>
      <c r="B26" s="40" t="s">
        <v>189</v>
      </c>
      <c r="C26" s="41" t="s">
        <v>182</v>
      </c>
      <c r="D26" s="43">
        <v>3</v>
      </c>
      <c r="E26" s="44" t="s">
        <v>0</v>
      </c>
      <c r="F26" s="43">
        <v>2</v>
      </c>
      <c r="G26">
        <f t="shared" si="0"/>
        <v>2</v>
      </c>
      <c r="H26" s="45"/>
      <c r="I26" s="97">
        <f t="shared" si="1"/>
        <v>2</v>
      </c>
      <c r="J26" s="56">
        <v>3</v>
      </c>
      <c r="K26" s="56" t="s">
        <v>0</v>
      </c>
      <c r="L26" s="57">
        <v>1</v>
      </c>
      <c r="M26" s="2">
        <f t="shared" si="18"/>
        <v>1</v>
      </c>
      <c r="N26" s="97">
        <f t="shared" si="2"/>
        <v>3</v>
      </c>
      <c r="O26" s="56"/>
      <c r="P26" s="56" t="s">
        <v>0</v>
      </c>
      <c r="Q26" s="57"/>
      <c r="R26" s="2">
        <f t="shared" si="31"/>
        <v>0</v>
      </c>
      <c r="S26" s="97">
        <f t="shared" si="3"/>
        <v>2</v>
      </c>
      <c r="T26" s="56">
        <v>3</v>
      </c>
      <c r="U26" s="56" t="s">
        <v>0</v>
      </c>
      <c r="V26" s="57">
        <v>0</v>
      </c>
      <c r="W26" s="2">
        <f t="shared" si="32"/>
        <v>1</v>
      </c>
      <c r="X26" s="97">
        <f t="shared" si="4"/>
        <v>2</v>
      </c>
      <c r="Y26" s="74">
        <v>1</v>
      </c>
      <c r="Z26" s="56" t="s">
        <v>0</v>
      </c>
      <c r="AA26" s="76">
        <v>0</v>
      </c>
      <c r="AB26" s="2">
        <f t="shared" si="21"/>
        <v>1</v>
      </c>
      <c r="AC26" s="97">
        <f t="shared" si="5"/>
        <v>2</v>
      </c>
      <c r="AD26" s="56">
        <v>2</v>
      </c>
      <c r="AE26" s="56" t="s">
        <v>0</v>
      </c>
      <c r="AF26" s="57">
        <v>1</v>
      </c>
      <c r="AG26" s="2">
        <f t="shared" si="22"/>
        <v>1</v>
      </c>
      <c r="AH26" s="97">
        <f t="shared" si="6"/>
        <v>3</v>
      </c>
      <c r="AI26" s="56"/>
      <c r="AJ26" s="56" t="s">
        <v>0</v>
      </c>
      <c r="AK26" s="57"/>
      <c r="AL26" s="2">
        <f t="shared" si="23"/>
        <v>0</v>
      </c>
      <c r="AM26" s="97">
        <f t="shared" si="7"/>
        <v>3</v>
      </c>
      <c r="AN26" s="56"/>
      <c r="AO26" s="56" t="s">
        <v>0</v>
      </c>
      <c r="AP26" s="57"/>
      <c r="AQ26" s="2">
        <f t="shared" si="24"/>
        <v>0</v>
      </c>
      <c r="AR26" s="97">
        <f t="shared" si="8"/>
        <v>2</v>
      </c>
      <c r="AS26" s="56">
        <v>3</v>
      </c>
      <c r="AT26" s="56" t="s">
        <v>0</v>
      </c>
      <c r="AU26" s="57">
        <v>0</v>
      </c>
      <c r="AV26" s="2">
        <f t="shared" si="25"/>
        <v>1</v>
      </c>
      <c r="AW26" s="97">
        <f t="shared" si="9"/>
        <v>3</v>
      </c>
      <c r="AX26" s="56"/>
      <c r="AY26" s="56" t="s">
        <v>0</v>
      </c>
      <c r="AZ26" s="57"/>
      <c r="BA26" s="2">
        <f t="shared" si="33"/>
        <v>0</v>
      </c>
      <c r="BB26" s="97">
        <f t="shared" si="11"/>
        <v>3</v>
      </c>
      <c r="BC26" s="56"/>
      <c r="BD26" s="56" t="s">
        <v>0</v>
      </c>
      <c r="BE26" s="57"/>
      <c r="BF26" s="2">
        <f t="shared" si="34"/>
        <v>0</v>
      </c>
      <c r="BG26" s="97">
        <f t="shared" si="13"/>
        <v>3</v>
      </c>
      <c r="BH26" s="64"/>
      <c r="BI26" s="64" t="s">
        <v>0</v>
      </c>
      <c r="BJ26" s="65"/>
      <c r="BK26" s="2">
        <f t="shared" si="35"/>
        <v>0</v>
      </c>
      <c r="BL26" s="97">
        <f t="shared" si="14"/>
        <v>3</v>
      </c>
      <c r="BM26" s="56"/>
      <c r="BN26" s="56" t="s">
        <v>0</v>
      </c>
      <c r="BO26" s="57"/>
      <c r="BP26" s="2">
        <f t="shared" si="36"/>
        <v>0</v>
      </c>
      <c r="BQ26" s="97">
        <f t="shared" si="15"/>
        <v>3</v>
      </c>
      <c r="BR26" s="56"/>
      <c r="BS26" s="56" t="s">
        <v>0</v>
      </c>
      <c r="BT26" s="57"/>
      <c r="BU26" s="2">
        <f t="shared" si="37"/>
        <v>0</v>
      </c>
      <c r="BV26" s="97">
        <f t="shared" si="16"/>
        <v>3</v>
      </c>
      <c r="BW26" s="56"/>
      <c r="BX26" s="56" t="s">
        <v>0</v>
      </c>
      <c r="BY26" s="57"/>
      <c r="BZ26" s="2">
        <f t="shared" si="38"/>
        <v>0</v>
      </c>
      <c r="CA26" s="97">
        <f t="shared" si="17"/>
        <v>3</v>
      </c>
      <c r="CB26" s="25"/>
      <c r="CC26" s="12" t="s">
        <v>0</v>
      </c>
      <c r="CD26" s="26"/>
      <c r="CE26" s="2">
        <f t="shared" si="39"/>
        <v>0</v>
      </c>
    </row>
    <row r="27" spans="1:83" ht="14.4" hidden="1" outlineLevel="1" thickBot="1">
      <c r="A27" s="71">
        <v>46210.916666666664</v>
      </c>
      <c r="B27" s="40" t="s">
        <v>166</v>
      </c>
      <c r="C27" s="41" t="s">
        <v>196</v>
      </c>
      <c r="D27" s="43">
        <v>0</v>
      </c>
      <c r="E27" s="44" t="s">
        <v>0</v>
      </c>
      <c r="F27" s="43">
        <v>0</v>
      </c>
      <c r="G27">
        <f t="shared" si="0"/>
        <v>3</v>
      </c>
      <c r="H27" s="45"/>
      <c r="I27" s="97">
        <f t="shared" si="1"/>
        <v>3</v>
      </c>
      <c r="J27" s="56">
        <v>1</v>
      </c>
      <c r="K27" s="56" t="s">
        <v>0</v>
      </c>
      <c r="L27" s="57">
        <v>1</v>
      </c>
      <c r="M27" s="2">
        <f t="shared" si="18"/>
        <v>1</v>
      </c>
      <c r="N27" s="97">
        <f t="shared" si="2"/>
        <v>3</v>
      </c>
      <c r="O27" s="56"/>
      <c r="P27" s="56" t="s">
        <v>0</v>
      </c>
      <c r="Q27" s="57"/>
      <c r="R27" s="2">
        <f t="shared" si="31"/>
        <v>0</v>
      </c>
      <c r="S27" s="97">
        <f t="shared" si="3"/>
        <v>1</v>
      </c>
      <c r="T27" s="56">
        <v>1</v>
      </c>
      <c r="U27" s="56" t="s">
        <v>0</v>
      </c>
      <c r="V27" s="57">
        <v>2</v>
      </c>
      <c r="W27" s="2">
        <f t="shared" si="32"/>
        <v>0</v>
      </c>
      <c r="X27" s="97">
        <f t="shared" si="4"/>
        <v>1</v>
      </c>
      <c r="Y27" s="74">
        <v>1</v>
      </c>
      <c r="Z27" s="56" t="s">
        <v>0</v>
      </c>
      <c r="AA27" s="76">
        <v>2</v>
      </c>
      <c r="AB27" s="2">
        <f t="shared" si="21"/>
        <v>0</v>
      </c>
      <c r="AC27" s="97">
        <f t="shared" si="5"/>
        <v>2</v>
      </c>
      <c r="AD27" s="56">
        <v>2</v>
      </c>
      <c r="AE27" s="56" t="s">
        <v>0</v>
      </c>
      <c r="AF27" s="57">
        <v>1</v>
      </c>
      <c r="AG27" s="2">
        <f t="shared" si="22"/>
        <v>0</v>
      </c>
      <c r="AH27" s="97">
        <f t="shared" si="6"/>
        <v>3</v>
      </c>
      <c r="AI27" s="56"/>
      <c r="AJ27" s="56" t="s">
        <v>0</v>
      </c>
      <c r="AK27" s="57"/>
      <c r="AL27" s="2">
        <f t="shared" si="23"/>
        <v>0</v>
      </c>
      <c r="AM27" s="97">
        <f t="shared" si="7"/>
        <v>3</v>
      </c>
      <c r="AN27" s="56"/>
      <c r="AO27" s="56" t="s">
        <v>0</v>
      </c>
      <c r="AP27" s="57"/>
      <c r="AQ27" s="2">
        <f t="shared" si="24"/>
        <v>0</v>
      </c>
      <c r="AR27" s="97">
        <f t="shared" si="8"/>
        <v>2</v>
      </c>
      <c r="AS27" s="56">
        <v>2</v>
      </c>
      <c r="AT27" s="56" t="s">
        <v>0</v>
      </c>
      <c r="AU27" s="57">
        <v>1</v>
      </c>
      <c r="AV27" s="2">
        <f t="shared" si="25"/>
        <v>0</v>
      </c>
      <c r="AW27" s="97">
        <f t="shared" si="9"/>
        <v>3</v>
      </c>
      <c r="AX27" s="56"/>
      <c r="AY27" s="56" t="s">
        <v>0</v>
      </c>
      <c r="AZ27" s="57"/>
      <c r="BA27" s="2">
        <f t="shared" si="33"/>
        <v>0</v>
      </c>
      <c r="BB27" s="97">
        <f t="shared" si="11"/>
        <v>3</v>
      </c>
      <c r="BC27" s="56"/>
      <c r="BD27" s="56" t="s">
        <v>0</v>
      </c>
      <c r="BE27" s="57"/>
      <c r="BF27" s="2">
        <f t="shared" si="34"/>
        <v>0</v>
      </c>
      <c r="BG27" s="97">
        <f t="shared" si="13"/>
        <v>3</v>
      </c>
      <c r="BH27" s="64"/>
      <c r="BI27" s="64" t="s">
        <v>0</v>
      </c>
      <c r="BJ27" s="65"/>
      <c r="BK27" s="2">
        <f t="shared" si="35"/>
        <v>0</v>
      </c>
      <c r="BL27" s="97">
        <f t="shared" si="14"/>
        <v>3</v>
      </c>
      <c r="BM27" s="56"/>
      <c r="BN27" s="56" t="s">
        <v>0</v>
      </c>
      <c r="BO27" s="57"/>
      <c r="BP27" s="2">
        <f t="shared" si="36"/>
        <v>0</v>
      </c>
      <c r="BQ27" s="97">
        <f t="shared" si="15"/>
        <v>3</v>
      </c>
      <c r="BR27" s="56"/>
      <c r="BS27" s="56" t="s">
        <v>0</v>
      </c>
      <c r="BT27" s="57"/>
      <c r="BU27" s="2">
        <f t="shared" si="37"/>
        <v>0</v>
      </c>
      <c r="BV27" s="97">
        <f t="shared" si="16"/>
        <v>3</v>
      </c>
      <c r="BW27" s="56"/>
      <c r="BX27" s="56" t="s">
        <v>0</v>
      </c>
      <c r="BY27" s="57"/>
      <c r="BZ27" s="2">
        <f t="shared" si="38"/>
        <v>0</v>
      </c>
      <c r="CA27" s="97">
        <f t="shared" si="17"/>
        <v>3</v>
      </c>
      <c r="CB27" s="25"/>
      <c r="CC27" s="12" t="s">
        <v>0</v>
      </c>
      <c r="CD27" s="26"/>
      <c r="CE27" s="2">
        <f t="shared" si="39"/>
        <v>0</v>
      </c>
    </row>
    <row r="28" spans="1:83" ht="13.8" collapsed="1" thickBot="1">
      <c r="A28" s="72" t="s">
        <v>250</v>
      </c>
      <c r="B28" s="55"/>
      <c r="C28" s="55"/>
      <c r="D28" s="50"/>
      <c r="E28" s="51"/>
      <c r="F28" s="50"/>
      <c r="G28" s="46"/>
      <c r="H28" s="46"/>
      <c r="I28" s="98"/>
      <c r="J28" s="58"/>
      <c r="K28" s="58"/>
      <c r="L28" s="59"/>
      <c r="M28" s="52"/>
      <c r="N28" s="98"/>
      <c r="O28" s="58"/>
      <c r="P28" s="58"/>
      <c r="Q28" s="59"/>
      <c r="R28" s="52"/>
      <c r="S28" s="98"/>
      <c r="T28" s="58"/>
      <c r="U28" s="58"/>
      <c r="V28" s="59"/>
      <c r="W28" s="52"/>
      <c r="X28" s="98"/>
      <c r="Y28" s="75"/>
      <c r="Z28" s="58"/>
      <c r="AA28" s="77"/>
      <c r="AB28" s="52"/>
      <c r="AC28" s="98"/>
      <c r="AD28" s="58"/>
      <c r="AE28" s="58"/>
      <c r="AF28" s="59"/>
      <c r="AG28" s="52"/>
      <c r="AH28" s="98"/>
      <c r="AI28" s="58"/>
      <c r="AJ28" s="58"/>
      <c r="AK28" s="59"/>
      <c r="AL28" s="52"/>
      <c r="AM28" s="98"/>
      <c r="AN28" s="58"/>
      <c r="AO28" s="58"/>
      <c r="AP28" s="59"/>
      <c r="AQ28" s="52"/>
      <c r="AR28" s="98"/>
      <c r="AS28" s="58"/>
      <c r="AT28" s="58"/>
      <c r="AU28" s="59"/>
      <c r="AV28" s="52"/>
      <c r="AW28" s="98"/>
      <c r="AX28" s="58"/>
      <c r="AY28" s="58"/>
      <c r="AZ28" s="59"/>
      <c r="BA28" s="52"/>
      <c r="BB28" s="98"/>
      <c r="BC28" s="58"/>
      <c r="BD28" s="58"/>
      <c r="BE28" s="59"/>
      <c r="BF28" s="52"/>
      <c r="BG28" s="98"/>
      <c r="BH28" s="62"/>
      <c r="BI28" s="62"/>
      <c r="BJ28" s="63"/>
      <c r="BK28" s="52"/>
      <c r="BL28" s="98"/>
      <c r="BM28" s="58"/>
      <c r="BN28" s="58"/>
      <c r="BO28" s="59"/>
      <c r="BP28" s="52"/>
      <c r="BQ28" s="98"/>
      <c r="BR28" s="58"/>
      <c r="BS28" s="58"/>
      <c r="BT28" s="59"/>
      <c r="BU28" s="52"/>
      <c r="BV28" s="98"/>
      <c r="BW28" s="58"/>
      <c r="BX28" s="58"/>
      <c r="BY28" s="59"/>
      <c r="BZ28" s="52"/>
      <c r="CA28" s="98"/>
      <c r="CB28" s="53"/>
      <c r="CC28" s="51"/>
      <c r="CD28" s="54"/>
      <c r="CE28" s="52"/>
    </row>
    <row r="29" spans="1:83" ht="12.75" customHeight="1" outlineLevel="2">
      <c r="A29" s="71">
        <v>46212.916666666664</v>
      </c>
      <c r="B29" s="34" t="s">
        <v>186</v>
      </c>
      <c r="C29" s="35" t="s">
        <v>168</v>
      </c>
      <c r="D29" s="43">
        <v>2</v>
      </c>
      <c r="E29" s="44" t="s">
        <v>0</v>
      </c>
      <c r="F29" s="43">
        <v>0</v>
      </c>
      <c r="G29">
        <f t="shared" ref="G29:G39" si="40">IF(F29=D29,3,IF(F29&lt;D29,2,IF(F29&gt;D29,1)))</f>
        <v>2</v>
      </c>
      <c r="H29" s="78">
        <v>1</v>
      </c>
      <c r="I29" s="97">
        <f t="shared" ref="I29:I39" si="41">IF(L29=J29,3,IF(L29&gt;J29,1,IF(L29&lt;J29,2)))</f>
        <v>2</v>
      </c>
      <c r="J29" s="56">
        <v>3</v>
      </c>
      <c r="K29" s="56" t="s">
        <v>0</v>
      </c>
      <c r="L29" s="57">
        <v>1</v>
      </c>
      <c r="M29" s="13">
        <f t="shared" ref="M29:M39" si="42">IF(OR(D29="",J29=""),0,IF((J29=D29)*(L29=F29),3,IF(I29=G29,1,0)))</f>
        <v>1</v>
      </c>
      <c r="N29" s="97">
        <f t="shared" ref="N29:N37" si="43">IF(Q29=O29,3,IF(Q29&gt;O29,1,IF(Q29&lt;O29,2)))</f>
        <v>3</v>
      </c>
      <c r="O29" s="56"/>
      <c r="P29" s="56" t="s">
        <v>0</v>
      </c>
      <c r="Q29" s="57"/>
      <c r="R29" s="13">
        <f t="shared" ref="R29:R37" si="44">IF(OR(D29="",O29=""),0,IF((O29=D29)*(Q29=F29),3,IF(N29=G29,1,0)))</f>
        <v>0</v>
      </c>
      <c r="S29" s="97">
        <f t="shared" ref="S29:S37" si="45">IF(V29=T29,3,IF(V29&gt;T29,1,IF(V29&lt;T29,2)))</f>
        <v>2</v>
      </c>
      <c r="T29" s="56">
        <v>3</v>
      </c>
      <c r="U29" s="56" t="s">
        <v>0</v>
      </c>
      <c r="V29" s="57">
        <v>0</v>
      </c>
      <c r="W29" s="13">
        <f t="shared" ref="W29:W37" si="46">IF(OR(D29="",T29=""),0,IF((T29=D29)*(V29=F29),3,IF(S29=G29,1,0)))</f>
        <v>1</v>
      </c>
      <c r="X29" s="97">
        <f t="shared" ref="X29:X37" si="47">IF(AA29=Y29,3,IF(AA29&gt;Y29,1,IF(AA29&lt;Y29,2)))</f>
        <v>2</v>
      </c>
      <c r="Y29" s="74">
        <v>2</v>
      </c>
      <c r="Z29" s="56" t="s">
        <v>0</v>
      </c>
      <c r="AA29" s="76">
        <v>1</v>
      </c>
      <c r="AB29" s="13">
        <f t="shared" ref="AB29:AB39" si="48">IF(OR(D29="",Y29=""),0,IF((Y29=D29)*(AA29=F29),3,IF(X29=G29,1,0)))</f>
        <v>1</v>
      </c>
      <c r="AC29" s="97">
        <f t="shared" ref="AC29:AC37" si="49">IF(AF29=AD29,3,IF(AF29&gt;AD29,1,IF(AF29&lt;AD29,2)))</f>
        <v>2</v>
      </c>
      <c r="AD29" s="56">
        <v>3</v>
      </c>
      <c r="AE29" s="56" t="s">
        <v>0</v>
      </c>
      <c r="AF29" s="57">
        <v>1</v>
      </c>
      <c r="AG29" s="13">
        <f t="shared" ref="AG29:AG39" si="50">IF(OR(D29="",AD29=""),0,IF((AD29=D29)*(AF29=F29),3,IF(AC29=G29,1,0)))</f>
        <v>1</v>
      </c>
      <c r="AH29" s="97">
        <f t="shared" ref="AH29:AH37" si="51">IF(AK29=AI29,3,IF(AK29&gt;AI29,1,IF(AK29&lt;AI29,2)))</f>
        <v>3</v>
      </c>
      <c r="AI29" s="56"/>
      <c r="AJ29" s="56" t="s">
        <v>0</v>
      </c>
      <c r="AK29" s="57"/>
      <c r="AL29" s="13">
        <f t="shared" ref="AL29:AL39" si="52">IF(OR(D29="",AI29=""),0,IF((AI29=D29)*(AK29=F29),3,IF(AH29=G29,1,0)))</f>
        <v>0</v>
      </c>
      <c r="AM29" s="97">
        <f t="shared" ref="AM29:AM37" si="53">IF(AP29=AN29,3,IF(AP29&gt;AN29,1,IF(AP29&lt;AN29,2)))</f>
        <v>3</v>
      </c>
      <c r="AN29" s="56"/>
      <c r="AO29" s="56" t="s">
        <v>0</v>
      </c>
      <c r="AP29" s="57"/>
      <c r="AQ29" s="13">
        <f t="shared" ref="AQ29:AQ39" si="54">IF(OR(D29="",AN29=""),0,IF((AN29=D29)*(AP29=F29),3,IF(AM29=G29,1,0)))</f>
        <v>0</v>
      </c>
      <c r="AR29" s="97">
        <f t="shared" ref="AR29:AR37" si="55">IF(AU29=AS29,3,IF(AU29&gt;AS29,1,IF(AU29&lt;AS29,2)))</f>
        <v>2</v>
      </c>
      <c r="AS29" s="56">
        <v>3</v>
      </c>
      <c r="AT29" s="56" t="s">
        <v>0</v>
      </c>
      <c r="AU29" s="57">
        <v>1</v>
      </c>
      <c r="AV29" s="13">
        <f t="shared" ref="AV29:AV39" si="56">IF(OR(D29="",AS29=""),0,IF((AS29=D29)*(AU29=F29),3,IF(AR29=G29,1,0)))</f>
        <v>1</v>
      </c>
      <c r="AW29" s="97">
        <f t="shared" ref="AW29:AW37" si="57">IF(AZ29=AX29,3,IF(AZ29&gt;AX29,1,IF(AZ29&lt;AX29,2)))</f>
        <v>3</v>
      </c>
      <c r="AX29" s="56"/>
      <c r="AY29" s="56" t="s">
        <v>0</v>
      </c>
      <c r="AZ29" s="57"/>
      <c r="BA29" s="13">
        <f t="shared" ref="BA29:BA39" si="58">IF(OR(D29="",AX29=""),0,IF((AX29=D29)*(AZ29=F29),3,IF(AW29=G29,1,0)))</f>
        <v>0</v>
      </c>
      <c r="BB29" s="97">
        <f t="shared" ref="BB29:BB37" si="59">IF(BE29=BC29,3,IF(BE29&gt;BC29,1,IF(BE29&lt;BC29,2)))</f>
        <v>3</v>
      </c>
      <c r="BC29" s="56"/>
      <c r="BD29" s="56" t="s">
        <v>0</v>
      </c>
      <c r="BE29" s="57"/>
      <c r="BF29" s="13">
        <f t="shared" ref="BF29:BF39" si="60">IF(OR(D29="",BC29=""),0,IF((BC29=D29)*(BE29=F29),3,IF(BB29=G29,1,0)))</f>
        <v>0</v>
      </c>
      <c r="BG29" s="97">
        <f t="shared" si="13"/>
        <v>3</v>
      </c>
      <c r="BH29" s="64"/>
      <c r="BI29" s="64" t="s">
        <v>0</v>
      </c>
      <c r="BJ29" s="65"/>
      <c r="BK29" s="13">
        <f>IF(OR(D29="",BH29=""),0,IF((BH29=D29)*(BJ29=F29),3,IF(BG29=G29,1,0)))</f>
        <v>0</v>
      </c>
      <c r="BL29" s="97">
        <f t="shared" si="14"/>
        <v>3</v>
      </c>
      <c r="BM29" s="56"/>
      <c r="BN29" s="56" t="s">
        <v>0</v>
      </c>
      <c r="BO29" s="57"/>
      <c r="BP29" s="13">
        <f>IF(OR(D29="",BM29=""),0,IF((BM29=D29)*(BO29=F29),3,IF(BL29=G29,1,0)))</f>
        <v>0</v>
      </c>
      <c r="BQ29" s="97">
        <f t="shared" si="15"/>
        <v>3</v>
      </c>
      <c r="BR29" s="56"/>
      <c r="BS29" s="56" t="s">
        <v>0</v>
      </c>
      <c r="BT29" s="57"/>
      <c r="BU29" s="13">
        <f>IF(OR(D29="",BR29=""),0,IF((BR29=D29)*(BT29=F29),3,IF(BQ29=G29,1,0)))</f>
        <v>0</v>
      </c>
      <c r="BV29" s="97">
        <f t="shared" si="16"/>
        <v>3</v>
      </c>
      <c r="BW29" s="56"/>
      <c r="BX29" s="56" t="s">
        <v>0</v>
      </c>
      <c r="BY29" s="57"/>
      <c r="BZ29" s="13">
        <f>IF(OR(D29="",BW29=""),0,IF((BW29=D29)*(BY29=F29),3,IF(BV29=G29,1,0)))</f>
        <v>0</v>
      </c>
      <c r="CA29" s="97">
        <f t="shared" si="17"/>
        <v>3</v>
      </c>
      <c r="CB29" s="25"/>
      <c r="CC29" s="12" t="s">
        <v>0</v>
      </c>
      <c r="CD29" s="26"/>
      <c r="CE29" s="13">
        <f>IF(OR(D29="",CB29=""),0,IF((CB29=D29)*(CD29=F29),3,IF(CA29=G29,1,0)))</f>
        <v>0</v>
      </c>
    </row>
    <row r="30" spans="1:83" ht="12.75" customHeight="1" outlineLevel="2">
      <c r="A30" s="71">
        <v>46213.875</v>
      </c>
      <c r="B30" s="34" t="s">
        <v>179</v>
      </c>
      <c r="C30" s="35" t="s">
        <v>181</v>
      </c>
      <c r="D30" s="43">
        <v>2</v>
      </c>
      <c r="E30" s="44" t="s">
        <v>0</v>
      </c>
      <c r="F30" s="43">
        <v>1</v>
      </c>
      <c r="G30">
        <f t="shared" si="40"/>
        <v>2</v>
      </c>
      <c r="H30" s="78">
        <v>2</v>
      </c>
      <c r="I30" s="97">
        <f t="shared" si="41"/>
        <v>2</v>
      </c>
      <c r="J30" s="56">
        <v>2</v>
      </c>
      <c r="K30" s="56" t="s">
        <v>0</v>
      </c>
      <c r="L30" s="57">
        <v>1</v>
      </c>
      <c r="M30" s="13">
        <f t="shared" si="42"/>
        <v>3</v>
      </c>
      <c r="N30" s="97">
        <f t="shared" si="43"/>
        <v>3</v>
      </c>
      <c r="O30" s="56"/>
      <c r="P30" s="56" t="s">
        <v>0</v>
      </c>
      <c r="Q30" s="57"/>
      <c r="R30" s="13">
        <f t="shared" si="44"/>
        <v>0</v>
      </c>
      <c r="S30" s="97">
        <f t="shared" si="45"/>
        <v>3</v>
      </c>
      <c r="T30" s="56">
        <v>2</v>
      </c>
      <c r="U30" s="56" t="s">
        <v>0</v>
      </c>
      <c r="V30" s="57">
        <v>2</v>
      </c>
      <c r="W30" s="13">
        <f t="shared" si="46"/>
        <v>0</v>
      </c>
      <c r="X30" s="97">
        <f t="shared" si="47"/>
        <v>1</v>
      </c>
      <c r="Y30" s="74">
        <v>1</v>
      </c>
      <c r="Z30" s="56" t="s">
        <v>0</v>
      </c>
      <c r="AA30" s="76">
        <v>2</v>
      </c>
      <c r="AB30" s="13">
        <f t="shared" si="48"/>
        <v>0</v>
      </c>
      <c r="AC30" s="97">
        <f t="shared" si="49"/>
        <v>2</v>
      </c>
      <c r="AD30" s="56">
        <v>2</v>
      </c>
      <c r="AE30" s="56" t="s">
        <v>0</v>
      </c>
      <c r="AF30" s="57">
        <v>1</v>
      </c>
      <c r="AG30" s="13">
        <f t="shared" si="50"/>
        <v>3</v>
      </c>
      <c r="AH30" s="97">
        <f t="shared" si="51"/>
        <v>3</v>
      </c>
      <c r="AI30" s="56"/>
      <c r="AJ30" s="56" t="s">
        <v>0</v>
      </c>
      <c r="AK30" s="57"/>
      <c r="AL30" s="13">
        <f t="shared" si="52"/>
        <v>0</v>
      </c>
      <c r="AM30" s="97">
        <f t="shared" si="53"/>
        <v>3</v>
      </c>
      <c r="AN30" s="56"/>
      <c r="AO30" s="56" t="s">
        <v>0</v>
      </c>
      <c r="AP30" s="57"/>
      <c r="AQ30" s="13">
        <f t="shared" si="54"/>
        <v>0</v>
      </c>
      <c r="AR30" s="97">
        <f t="shared" si="55"/>
        <v>2</v>
      </c>
      <c r="AS30" s="56">
        <v>2</v>
      </c>
      <c r="AT30" s="56" t="s">
        <v>0</v>
      </c>
      <c r="AU30" s="57">
        <v>1</v>
      </c>
      <c r="AV30" s="13">
        <f t="shared" si="56"/>
        <v>3</v>
      </c>
      <c r="AW30" s="97">
        <f t="shared" si="57"/>
        <v>3</v>
      </c>
      <c r="AX30" s="56"/>
      <c r="AY30" s="56" t="s">
        <v>0</v>
      </c>
      <c r="AZ30" s="57"/>
      <c r="BA30" s="13">
        <f t="shared" si="58"/>
        <v>0</v>
      </c>
      <c r="BB30" s="97">
        <f t="shared" si="59"/>
        <v>3</v>
      </c>
      <c r="BC30" s="56"/>
      <c r="BD30" s="56" t="s">
        <v>0</v>
      </c>
      <c r="BE30" s="57"/>
      <c r="BF30" s="13">
        <f t="shared" si="60"/>
        <v>0</v>
      </c>
      <c r="BG30" s="97">
        <f t="shared" si="13"/>
        <v>3</v>
      </c>
      <c r="BH30" s="64"/>
      <c r="BI30" s="64" t="s">
        <v>0</v>
      </c>
      <c r="BJ30" s="65"/>
      <c r="BK30" s="13">
        <f t="shared" ref="BK30:BK37" si="61">IF(OR(D30="",BH30=""),0,IF((BH30=D30)*(BJ30=F30),3,IF(BG30=G30,1,0)))</f>
        <v>0</v>
      </c>
      <c r="BL30" s="97">
        <f t="shared" si="14"/>
        <v>3</v>
      </c>
      <c r="BM30" s="56"/>
      <c r="BN30" s="56" t="s">
        <v>0</v>
      </c>
      <c r="BO30" s="57"/>
      <c r="BP30" s="13">
        <f t="shared" ref="BP30:BP37" si="62">IF(OR(D30="",BM30=""),0,IF((BM30=D30)*(BO30=F30),3,IF(BL30=G30,1,0)))</f>
        <v>0</v>
      </c>
      <c r="BQ30" s="97">
        <f t="shared" si="15"/>
        <v>3</v>
      </c>
      <c r="BR30" s="56"/>
      <c r="BS30" s="56"/>
      <c r="BT30" s="57"/>
      <c r="BU30" s="13">
        <f t="shared" ref="BU30:BU38" si="63">IF(OR(D30="",BR30=""),0,IF((BR30=D30)*(BT30=F30),3,IF(BQ30=G30,1,0)))</f>
        <v>0</v>
      </c>
      <c r="BV30" s="97">
        <f t="shared" si="16"/>
        <v>3</v>
      </c>
      <c r="BW30" s="56"/>
      <c r="BX30" s="56"/>
      <c r="BY30" s="57"/>
      <c r="BZ30" s="13"/>
      <c r="CA30" s="97">
        <f t="shared" si="17"/>
        <v>3</v>
      </c>
      <c r="CB30" s="25"/>
      <c r="CC30" s="12" t="s">
        <v>0</v>
      </c>
      <c r="CD30" s="26"/>
      <c r="CE30" s="13">
        <f t="shared" ref="CE30:CE38" si="64">IF(OR(D30="",CB30=""),0,IF((CB30=D30)*(CD30=F30),3,IF(CA30=G30,1,0)))</f>
        <v>0</v>
      </c>
    </row>
    <row r="31" spans="1:83" ht="12.75" customHeight="1" outlineLevel="2">
      <c r="A31" s="71">
        <v>46214.958333333336</v>
      </c>
      <c r="B31" s="34" t="s">
        <v>188</v>
      </c>
      <c r="C31" s="35" t="s">
        <v>194</v>
      </c>
      <c r="D31" s="43">
        <v>1</v>
      </c>
      <c r="E31" s="44" t="s">
        <v>0</v>
      </c>
      <c r="F31" s="43">
        <v>2</v>
      </c>
      <c r="G31">
        <f t="shared" si="40"/>
        <v>1</v>
      </c>
      <c r="H31" s="78">
        <v>3</v>
      </c>
      <c r="I31" s="97">
        <f t="shared" si="41"/>
        <v>1</v>
      </c>
      <c r="J31" s="56">
        <v>1</v>
      </c>
      <c r="K31" s="56" t="s">
        <v>0</v>
      </c>
      <c r="L31" s="57">
        <v>2</v>
      </c>
      <c r="M31" s="13">
        <f t="shared" si="42"/>
        <v>3</v>
      </c>
      <c r="N31" s="97">
        <f t="shared" si="43"/>
        <v>3</v>
      </c>
      <c r="O31" s="56"/>
      <c r="P31" s="56" t="s">
        <v>0</v>
      </c>
      <c r="Q31" s="57"/>
      <c r="R31" s="13">
        <f t="shared" si="44"/>
        <v>0</v>
      </c>
      <c r="S31" s="97">
        <f t="shared" si="45"/>
        <v>3</v>
      </c>
      <c r="T31" s="56">
        <v>1</v>
      </c>
      <c r="U31" s="56" t="s">
        <v>0</v>
      </c>
      <c r="V31" s="57">
        <v>1</v>
      </c>
      <c r="W31" s="13">
        <f t="shared" si="46"/>
        <v>0</v>
      </c>
      <c r="X31" s="97">
        <f t="shared" si="47"/>
        <v>1</v>
      </c>
      <c r="Y31" s="74">
        <v>1</v>
      </c>
      <c r="Z31" s="56" t="s">
        <v>0</v>
      </c>
      <c r="AA31" s="76">
        <v>2</v>
      </c>
      <c r="AB31" s="13">
        <f t="shared" si="48"/>
        <v>3</v>
      </c>
      <c r="AC31" s="97">
        <f t="shared" si="49"/>
        <v>3</v>
      </c>
      <c r="AD31" s="56">
        <v>2</v>
      </c>
      <c r="AE31" s="56" t="s">
        <v>0</v>
      </c>
      <c r="AF31" s="57">
        <v>2</v>
      </c>
      <c r="AG31" s="13">
        <f t="shared" si="50"/>
        <v>0</v>
      </c>
      <c r="AH31" s="97">
        <f t="shared" si="51"/>
        <v>3</v>
      </c>
      <c r="AI31" s="56"/>
      <c r="AJ31" s="56" t="s">
        <v>0</v>
      </c>
      <c r="AK31" s="57"/>
      <c r="AL31" s="13">
        <f t="shared" si="52"/>
        <v>0</v>
      </c>
      <c r="AM31" s="97">
        <f t="shared" si="53"/>
        <v>3</v>
      </c>
      <c r="AN31" s="56"/>
      <c r="AO31" s="56" t="s">
        <v>0</v>
      </c>
      <c r="AP31" s="57"/>
      <c r="AQ31" s="13">
        <f t="shared" si="54"/>
        <v>0</v>
      </c>
      <c r="AR31" s="97">
        <f t="shared" si="55"/>
        <v>3</v>
      </c>
      <c r="AS31" s="56">
        <v>2</v>
      </c>
      <c r="AT31" s="56" t="s">
        <v>0</v>
      </c>
      <c r="AU31" s="57">
        <v>2</v>
      </c>
      <c r="AV31" s="13">
        <f t="shared" si="56"/>
        <v>0</v>
      </c>
      <c r="AW31" s="97">
        <f t="shared" si="57"/>
        <v>3</v>
      </c>
      <c r="AX31" s="56"/>
      <c r="AY31" s="56" t="s">
        <v>0</v>
      </c>
      <c r="AZ31" s="57"/>
      <c r="BA31" s="13">
        <f t="shared" si="58"/>
        <v>0</v>
      </c>
      <c r="BB31" s="97">
        <f t="shared" si="59"/>
        <v>3</v>
      </c>
      <c r="BC31" s="56"/>
      <c r="BD31" s="56" t="s">
        <v>0</v>
      </c>
      <c r="BE31" s="57"/>
      <c r="BF31" s="13">
        <f t="shared" si="60"/>
        <v>0</v>
      </c>
      <c r="BG31" s="97">
        <f t="shared" si="13"/>
        <v>3</v>
      </c>
      <c r="BH31" s="64"/>
      <c r="BI31" s="64" t="s">
        <v>0</v>
      </c>
      <c r="BJ31" s="65"/>
      <c r="BK31" s="13">
        <f t="shared" si="61"/>
        <v>0</v>
      </c>
      <c r="BL31" s="97">
        <f t="shared" si="14"/>
        <v>3</v>
      </c>
      <c r="BM31" s="56"/>
      <c r="BN31" s="56" t="s">
        <v>0</v>
      </c>
      <c r="BO31" s="57"/>
      <c r="BP31" s="13">
        <f t="shared" si="62"/>
        <v>0</v>
      </c>
      <c r="BQ31" s="97">
        <f t="shared" si="15"/>
        <v>3</v>
      </c>
      <c r="BR31" s="56"/>
      <c r="BS31" s="56"/>
      <c r="BT31" s="57"/>
      <c r="BU31" s="13">
        <f t="shared" si="63"/>
        <v>0</v>
      </c>
      <c r="BV31" s="97">
        <f t="shared" si="16"/>
        <v>3</v>
      </c>
      <c r="BW31" s="56"/>
      <c r="BX31" s="56"/>
      <c r="BY31" s="57"/>
      <c r="BZ31" s="13"/>
      <c r="CA31" s="97">
        <f t="shared" si="17"/>
        <v>3</v>
      </c>
      <c r="CB31" s="25"/>
      <c r="CC31" s="12" t="s">
        <v>0</v>
      </c>
      <c r="CD31" s="26"/>
      <c r="CE31" s="13">
        <f t="shared" si="64"/>
        <v>0</v>
      </c>
    </row>
    <row r="32" spans="1:83" ht="12.75" customHeight="1" outlineLevel="2" thickBot="1">
      <c r="A32" s="71">
        <v>46215.125</v>
      </c>
      <c r="B32" s="34" t="s">
        <v>189</v>
      </c>
      <c r="C32" s="35" t="s">
        <v>166</v>
      </c>
      <c r="D32" s="43">
        <v>3</v>
      </c>
      <c r="E32" s="44" t="s">
        <v>0</v>
      </c>
      <c r="F32" s="43">
        <v>1</v>
      </c>
      <c r="G32">
        <f t="shared" si="40"/>
        <v>2</v>
      </c>
      <c r="H32" s="78">
        <v>4</v>
      </c>
      <c r="I32" s="97">
        <f t="shared" si="41"/>
        <v>2</v>
      </c>
      <c r="J32" s="56">
        <v>2</v>
      </c>
      <c r="K32" s="56" t="s">
        <v>0</v>
      </c>
      <c r="L32" s="57">
        <v>1</v>
      </c>
      <c r="M32" s="13">
        <f t="shared" si="42"/>
        <v>1</v>
      </c>
      <c r="N32" s="97">
        <f t="shared" si="43"/>
        <v>3</v>
      </c>
      <c r="O32" s="56"/>
      <c r="P32" s="56" t="s">
        <v>0</v>
      </c>
      <c r="Q32" s="57"/>
      <c r="R32" s="13">
        <f t="shared" si="44"/>
        <v>0</v>
      </c>
      <c r="S32" s="97">
        <f t="shared" si="45"/>
        <v>2</v>
      </c>
      <c r="T32" s="56">
        <v>2</v>
      </c>
      <c r="U32" s="56" t="s">
        <v>0</v>
      </c>
      <c r="V32" s="57">
        <v>1</v>
      </c>
      <c r="W32" s="13">
        <f t="shared" si="46"/>
        <v>1</v>
      </c>
      <c r="X32" s="97">
        <f t="shared" si="47"/>
        <v>2</v>
      </c>
      <c r="Y32" s="74">
        <v>1</v>
      </c>
      <c r="Z32" s="56" t="s">
        <v>0</v>
      </c>
      <c r="AA32" s="76">
        <v>0</v>
      </c>
      <c r="AB32" s="13">
        <f t="shared" si="48"/>
        <v>1</v>
      </c>
      <c r="AC32" s="97">
        <f t="shared" si="49"/>
        <v>2</v>
      </c>
      <c r="AD32" s="56">
        <v>3</v>
      </c>
      <c r="AE32" s="56" t="s">
        <v>0</v>
      </c>
      <c r="AF32" s="57">
        <v>1</v>
      </c>
      <c r="AG32" s="13">
        <f t="shared" si="50"/>
        <v>3</v>
      </c>
      <c r="AH32" s="97">
        <f t="shared" si="51"/>
        <v>3</v>
      </c>
      <c r="AI32" s="56"/>
      <c r="AJ32" s="56" t="s">
        <v>0</v>
      </c>
      <c r="AK32" s="57"/>
      <c r="AL32" s="13">
        <f t="shared" si="52"/>
        <v>0</v>
      </c>
      <c r="AM32" s="97">
        <f t="shared" si="53"/>
        <v>3</v>
      </c>
      <c r="AN32" s="56"/>
      <c r="AO32" s="56" t="s">
        <v>0</v>
      </c>
      <c r="AP32" s="57"/>
      <c r="AQ32" s="13">
        <f t="shared" si="54"/>
        <v>0</v>
      </c>
      <c r="AR32" s="97">
        <f t="shared" si="55"/>
        <v>2</v>
      </c>
      <c r="AS32" s="56">
        <v>2</v>
      </c>
      <c r="AT32" s="56" t="s">
        <v>0</v>
      </c>
      <c r="AU32" s="57">
        <v>0</v>
      </c>
      <c r="AV32" s="13">
        <f t="shared" si="56"/>
        <v>1</v>
      </c>
      <c r="AW32" s="97">
        <f t="shared" si="57"/>
        <v>3</v>
      </c>
      <c r="AX32" s="56"/>
      <c r="AY32" s="56" t="s">
        <v>0</v>
      </c>
      <c r="AZ32" s="57"/>
      <c r="BA32" s="13">
        <f t="shared" si="58"/>
        <v>0</v>
      </c>
      <c r="BB32" s="97">
        <f t="shared" si="59"/>
        <v>3</v>
      </c>
      <c r="BC32" s="56"/>
      <c r="BD32" s="56" t="s">
        <v>0</v>
      </c>
      <c r="BE32" s="57"/>
      <c r="BF32" s="13">
        <f t="shared" si="60"/>
        <v>0</v>
      </c>
      <c r="BG32" s="97">
        <f t="shared" si="13"/>
        <v>3</v>
      </c>
      <c r="BH32" s="64"/>
      <c r="BI32" s="64" t="s">
        <v>0</v>
      </c>
      <c r="BJ32" s="65"/>
      <c r="BK32" s="13">
        <f t="shared" si="61"/>
        <v>0</v>
      </c>
      <c r="BL32" s="97">
        <f t="shared" si="14"/>
        <v>3</v>
      </c>
      <c r="BM32" s="56"/>
      <c r="BN32" s="56" t="s">
        <v>0</v>
      </c>
      <c r="BO32" s="57"/>
      <c r="BP32" s="13">
        <f t="shared" si="62"/>
        <v>0</v>
      </c>
      <c r="BQ32" s="97">
        <f t="shared" si="15"/>
        <v>3</v>
      </c>
      <c r="BR32" s="56"/>
      <c r="BS32" s="56"/>
      <c r="BT32" s="57"/>
      <c r="BU32" s="13">
        <f t="shared" si="63"/>
        <v>0</v>
      </c>
      <c r="BV32" s="97">
        <f t="shared" si="16"/>
        <v>3</v>
      </c>
      <c r="BW32" s="56"/>
      <c r="BX32" s="56"/>
      <c r="BY32" s="57"/>
      <c r="BZ32" s="13"/>
      <c r="CA32" s="97">
        <f t="shared" si="17"/>
        <v>3</v>
      </c>
      <c r="CB32" s="25"/>
      <c r="CC32" s="12" t="s">
        <v>0</v>
      </c>
      <c r="CD32" s="26"/>
      <c r="CE32" s="13">
        <f t="shared" si="64"/>
        <v>0</v>
      </c>
    </row>
    <row r="33" spans="1:83" ht="12.75" customHeight="1" outlineLevel="2" thickBot="1">
      <c r="A33" s="72" t="s">
        <v>251</v>
      </c>
      <c r="B33" s="55"/>
      <c r="C33" s="55"/>
      <c r="D33" s="50"/>
      <c r="E33" s="51"/>
      <c r="F33" s="50"/>
      <c r="G33" s="46"/>
      <c r="H33" s="46"/>
      <c r="I33" s="98"/>
      <c r="J33" s="58"/>
      <c r="K33" s="58"/>
      <c r="L33" s="59"/>
      <c r="M33" s="52"/>
      <c r="N33" s="98"/>
      <c r="O33" s="58"/>
      <c r="P33" s="58"/>
      <c r="Q33" s="59"/>
      <c r="R33" s="52"/>
      <c r="S33" s="98"/>
      <c r="T33" s="58"/>
      <c r="U33" s="58"/>
      <c r="V33" s="59"/>
      <c r="W33" s="52"/>
      <c r="X33" s="98"/>
      <c r="Y33" s="75"/>
      <c r="Z33" s="58"/>
      <c r="AA33" s="77"/>
      <c r="AB33" s="52"/>
      <c r="AC33" s="98"/>
      <c r="AD33" s="58"/>
      <c r="AE33" s="58"/>
      <c r="AF33" s="59"/>
      <c r="AG33" s="52"/>
      <c r="AH33" s="98"/>
      <c r="AI33" s="58"/>
      <c r="AJ33" s="58"/>
      <c r="AK33" s="59"/>
      <c r="AL33" s="52"/>
      <c r="AM33" s="98"/>
      <c r="AN33" s="58"/>
      <c r="AO33" s="58"/>
      <c r="AP33" s="59"/>
      <c r="AQ33" s="52"/>
      <c r="AR33" s="98"/>
      <c r="AS33" s="58"/>
      <c r="AT33" s="58"/>
      <c r="AU33" s="59"/>
      <c r="AV33" s="52"/>
      <c r="AW33" s="98"/>
      <c r="AX33" s="58"/>
      <c r="AY33" s="58"/>
      <c r="AZ33" s="59"/>
      <c r="BA33" s="52"/>
      <c r="BB33" s="98"/>
      <c r="BC33" s="58"/>
      <c r="BD33" s="58"/>
      <c r="BE33" s="59"/>
      <c r="BF33" s="52"/>
      <c r="BG33" s="98"/>
      <c r="BH33" s="62"/>
      <c r="BI33" s="62"/>
      <c r="BJ33" s="63"/>
      <c r="BK33" s="52"/>
      <c r="BL33" s="98"/>
      <c r="BM33" s="58"/>
      <c r="BN33" s="58"/>
      <c r="BO33" s="59"/>
      <c r="BP33" s="52"/>
      <c r="BQ33" s="97">
        <f t="shared" si="15"/>
        <v>3</v>
      </c>
      <c r="BR33" s="56"/>
      <c r="BS33" s="56"/>
      <c r="BT33" s="57"/>
      <c r="BU33" s="13">
        <f t="shared" si="63"/>
        <v>0</v>
      </c>
      <c r="BV33" s="97">
        <f t="shared" si="16"/>
        <v>3</v>
      </c>
      <c r="BW33" s="56"/>
      <c r="BX33" s="56"/>
      <c r="BY33" s="57"/>
      <c r="BZ33" s="13"/>
      <c r="CA33" s="97">
        <f t="shared" si="17"/>
        <v>3</v>
      </c>
      <c r="CB33" s="25"/>
      <c r="CC33" s="12" t="s">
        <v>0</v>
      </c>
      <c r="CD33" s="26"/>
      <c r="CE33" s="13">
        <f t="shared" si="64"/>
        <v>0</v>
      </c>
    </row>
    <row r="34" spans="1:83" ht="12.75" customHeight="1" outlineLevel="2">
      <c r="A34" s="71">
        <v>46217.875</v>
      </c>
      <c r="B34" s="34" t="s">
        <v>186</v>
      </c>
      <c r="C34" s="35" t="s">
        <v>179</v>
      </c>
      <c r="D34" s="43"/>
      <c r="E34" s="44" t="s">
        <v>0</v>
      </c>
      <c r="F34" s="43"/>
      <c r="G34">
        <f t="shared" si="40"/>
        <v>3</v>
      </c>
      <c r="H34" s="78">
        <v>6</v>
      </c>
      <c r="I34" s="97">
        <f t="shared" si="41"/>
        <v>2</v>
      </c>
      <c r="J34" s="56">
        <v>3</v>
      </c>
      <c r="K34" s="56" t="s">
        <v>0</v>
      </c>
      <c r="L34" s="57">
        <v>2</v>
      </c>
      <c r="M34" s="13">
        <f t="shared" si="42"/>
        <v>0</v>
      </c>
      <c r="N34" s="97">
        <f t="shared" si="43"/>
        <v>3</v>
      </c>
      <c r="O34" s="56"/>
      <c r="P34" s="56" t="s">
        <v>0</v>
      </c>
      <c r="Q34" s="57"/>
      <c r="R34" s="13">
        <f t="shared" si="44"/>
        <v>0</v>
      </c>
      <c r="S34" s="97">
        <f t="shared" si="45"/>
        <v>2</v>
      </c>
      <c r="T34" s="56">
        <v>2</v>
      </c>
      <c r="U34" s="56" t="s">
        <v>0</v>
      </c>
      <c r="V34" s="57">
        <v>0</v>
      </c>
      <c r="W34" s="13">
        <f t="shared" si="46"/>
        <v>0</v>
      </c>
      <c r="X34" s="97">
        <f t="shared" si="47"/>
        <v>2</v>
      </c>
      <c r="Y34" s="74">
        <v>2</v>
      </c>
      <c r="Z34" s="56" t="s">
        <v>0</v>
      </c>
      <c r="AA34" s="76">
        <v>1</v>
      </c>
      <c r="AB34" s="13">
        <f t="shared" si="48"/>
        <v>0</v>
      </c>
      <c r="AC34" s="97">
        <f t="shared" si="49"/>
        <v>2</v>
      </c>
      <c r="AD34" s="56">
        <v>2</v>
      </c>
      <c r="AE34" s="56" t="s">
        <v>0</v>
      </c>
      <c r="AF34" s="57">
        <v>1</v>
      </c>
      <c r="AG34" s="13">
        <f t="shared" si="50"/>
        <v>0</v>
      </c>
      <c r="AH34" s="97">
        <f t="shared" si="51"/>
        <v>3</v>
      </c>
      <c r="AI34" s="56"/>
      <c r="AJ34" s="56" t="s">
        <v>0</v>
      </c>
      <c r="AK34" s="57"/>
      <c r="AL34" s="13">
        <f t="shared" si="52"/>
        <v>0</v>
      </c>
      <c r="AM34" s="97">
        <f t="shared" si="53"/>
        <v>3</v>
      </c>
      <c r="AN34" s="56"/>
      <c r="AO34" s="56" t="s">
        <v>0</v>
      </c>
      <c r="AP34" s="57"/>
      <c r="AQ34" s="13">
        <f t="shared" si="54"/>
        <v>0</v>
      </c>
      <c r="AR34" s="97">
        <f t="shared" si="55"/>
        <v>2</v>
      </c>
      <c r="AS34" s="56">
        <v>2</v>
      </c>
      <c r="AT34" s="56" t="s">
        <v>0</v>
      </c>
      <c r="AU34" s="57">
        <v>1</v>
      </c>
      <c r="AV34" s="13">
        <f t="shared" si="56"/>
        <v>0</v>
      </c>
      <c r="AW34" s="97">
        <f t="shared" si="57"/>
        <v>3</v>
      </c>
      <c r="AX34" s="56"/>
      <c r="AY34" s="56" t="s">
        <v>0</v>
      </c>
      <c r="AZ34" s="57"/>
      <c r="BA34" s="13">
        <f t="shared" si="58"/>
        <v>0</v>
      </c>
      <c r="BB34" s="97">
        <f t="shared" si="59"/>
        <v>3</v>
      </c>
      <c r="BC34" s="56"/>
      <c r="BD34" s="56" t="s">
        <v>0</v>
      </c>
      <c r="BE34" s="57"/>
      <c r="BF34" s="13">
        <f t="shared" si="60"/>
        <v>0</v>
      </c>
      <c r="BG34" s="97">
        <f t="shared" si="13"/>
        <v>3</v>
      </c>
      <c r="BH34" s="64"/>
      <c r="BI34" s="64" t="s">
        <v>0</v>
      </c>
      <c r="BJ34" s="65"/>
      <c r="BK34" s="13">
        <f t="shared" si="61"/>
        <v>0</v>
      </c>
      <c r="BL34" s="97">
        <f t="shared" si="14"/>
        <v>3</v>
      </c>
      <c r="BM34" s="56"/>
      <c r="BN34" s="56" t="s">
        <v>0</v>
      </c>
      <c r="BO34" s="57"/>
      <c r="BP34" s="13">
        <f t="shared" si="62"/>
        <v>0</v>
      </c>
      <c r="BQ34" s="97">
        <f t="shared" si="15"/>
        <v>3</v>
      </c>
      <c r="BR34" s="56"/>
      <c r="BS34" s="56"/>
      <c r="BT34" s="57"/>
      <c r="BU34" s="13">
        <f t="shared" si="63"/>
        <v>0</v>
      </c>
      <c r="BV34" s="97">
        <f t="shared" si="16"/>
        <v>3</v>
      </c>
      <c r="BW34" s="56"/>
      <c r="BX34" s="56"/>
      <c r="BY34" s="57"/>
      <c r="BZ34" s="13"/>
      <c r="CA34" s="97">
        <f t="shared" si="17"/>
        <v>3</v>
      </c>
      <c r="CB34" s="25"/>
      <c r="CC34" s="12" t="s">
        <v>0</v>
      </c>
      <c r="CD34" s="26"/>
      <c r="CE34" s="13">
        <f t="shared" si="64"/>
        <v>0</v>
      </c>
    </row>
    <row r="35" spans="1:83" ht="12.75" customHeight="1" outlineLevel="2" thickBot="1">
      <c r="A35" s="71">
        <v>46218.875</v>
      </c>
      <c r="B35" s="34" t="s">
        <v>194</v>
      </c>
      <c r="C35" s="35" t="s">
        <v>189</v>
      </c>
      <c r="D35" s="43"/>
      <c r="E35" s="44" t="s">
        <v>0</v>
      </c>
      <c r="F35" s="43"/>
      <c r="G35">
        <f t="shared" si="40"/>
        <v>3</v>
      </c>
      <c r="H35" s="78">
        <v>7</v>
      </c>
      <c r="I35" s="97">
        <f t="shared" si="41"/>
        <v>1</v>
      </c>
      <c r="J35" s="56">
        <v>2</v>
      </c>
      <c r="K35" s="56" t="s">
        <v>0</v>
      </c>
      <c r="L35" s="57">
        <v>3</v>
      </c>
      <c r="M35" s="13">
        <f t="shared" si="42"/>
        <v>0</v>
      </c>
      <c r="N35" s="97">
        <f t="shared" si="43"/>
        <v>3</v>
      </c>
      <c r="O35" s="56"/>
      <c r="P35" s="56" t="s">
        <v>0</v>
      </c>
      <c r="Q35" s="57"/>
      <c r="R35" s="13">
        <f t="shared" si="44"/>
        <v>0</v>
      </c>
      <c r="S35" s="97">
        <f t="shared" si="45"/>
        <v>1</v>
      </c>
      <c r="T35" s="56">
        <v>1</v>
      </c>
      <c r="U35" s="56" t="s">
        <v>0</v>
      </c>
      <c r="V35" s="57">
        <v>2</v>
      </c>
      <c r="W35" s="13">
        <f t="shared" si="46"/>
        <v>0</v>
      </c>
      <c r="X35" s="97">
        <f t="shared" si="47"/>
        <v>3</v>
      </c>
      <c r="Y35" s="74">
        <v>1</v>
      </c>
      <c r="Z35" s="56" t="s">
        <v>0</v>
      </c>
      <c r="AA35" s="76">
        <v>1</v>
      </c>
      <c r="AB35" s="13">
        <f t="shared" si="48"/>
        <v>0</v>
      </c>
      <c r="AC35" s="97">
        <f t="shared" si="49"/>
        <v>3</v>
      </c>
      <c r="AD35" s="56">
        <v>2</v>
      </c>
      <c r="AE35" s="56" t="s">
        <v>0</v>
      </c>
      <c r="AF35" s="57">
        <v>2</v>
      </c>
      <c r="AG35" s="13">
        <f t="shared" si="50"/>
        <v>0</v>
      </c>
      <c r="AH35" s="97">
        <f t="shared" si="51"/>
        <v>3</v>
      </c>
      <c r="AI35" s="56"/>
      <c r="AJ35" s="56" t="s">
        <v>0</v>
      </c>
      <c r="AK35" s="57"/>
      <c r="AL35" s="13">
        <f t="shared" si="52"/>
        <v>0</v>
      </c>
      <c r="AM35" s="97">
        <f t="shared" si="53"/>
        <v>3</v>
      </c>
      <c r="AN35" s="56"/>
      <c r="AO35" s="56" t="s">
        <v>0</v>
      </c>
      <c r="AP35" s="57"/>
      <c r="AQ35" s="13">
        <f t="shared" si="54"/>
        <v>0</v>
      </c>
      <c r="AR35" s="97">
        <f t="shared" si="55"/>
        <v>1</v>
      </c>
      <c r="AS35" s="56">
        <v>1</v>
      </c>
      <c r="AT35" s="56" t="s">
        <v>0</v>
      </c>
      <c r="AU35" s="57">
        <v>2</v>
      </c>
      <c r="AV35" s="13">
        <f t="shared" si="56"/>
        <v>0</v>
      </c>
      <c r="AW35" s="97">
        <f t="shared" si="57"/>
        <v>3</v>
      </c>
      <c r="AX35" s="56"/>
      <c r="AY35" s="56" t="s">
        <v>0</v>
      </c>
      <c r="AZ35" s="57"/>
      <c r="BA35" s="13">
        <f t="shared" si="58"/>
        <v>0</v>
      </c>
      <c r="BB35" s="97">
        <f t="shared" si="59"/>
        <v>3</v>
      </c>
      <c r="BC35" s="56"/>
      <c r="BD35" s="56" t="s">
        <v>0</v>
      </c>
      <c r="BE35" s="57"/>
      <c r="BF35" s="13">
        <f t="shared" si="60"/>
        <v>0</v>
      </c>
      <c r="BG35" s="97">
        <f t="shared" si="13"/>
        <v>3</v>
      </c>
      <c r="BH35" s="64"/>
      <c r="BI35" s="64" t="s">
        <v>0</v>
      </c>
      <c r="BJ35" s="65"/>
      <c r="BK35" s="13">
        <f t="shared" si="61"/>
        <v>0</v>
      </c>
      <c r="BL35" s="97">
        <f t="shared" si="14"/>
        <v>3</v>
      </c>
      <c r="BM35" s="56"/>
      <c r="BN35" s="56" t="s">
        <v>0</v>
      </c>
      <c r="BO35" s="57"/>
      <c r="BP35" s="13">
        <f t="shared" si="62"/>
        <v>0</v>
      </c>
      <c r="BQ35" s="97">
        <f t="shared" si="15"/>
        <v>3</v>
      </c>
      <c r="BR35" s="56"/>
      <c r="BS35" s="56"/>
      <c r="BT35" s="57"/>
      <c r="BU35" s="13">
        <f t="shared" si="63"/>
        <v>0</v>
      </c>
      <c r="BV35" s="97">
        <f t="shared" si="16"/>
        <v>3</v>
      </c>
      <c r="BW35" s="56"/>
      <c r="BX35" s="56"/>
      <c r="BY35" s="57"/>
      <c r="BZ35" s="13"/>
      <c r="CA35" s="97">
        <f t="shared" si="17"/>
        <v>3</v>
      </c>
      <c r="CB35" s="25"/>
      <c r="CC35" s="12" t="s">
        <v>0</v>
      </c>
      <c r="CD35" s="26"/>
      <c r="CE35" s="13">
        <f t="shared" si="64"/>
        <v>0</v>
      </c>
    </row>
    <row r="36" spans="1:83" ht="12.75" customHeight="1" outlineLevel="2" thickBot="1">
      <c r="A36" s="72" t="s">
        <v>252</v>
      </c>
      <c r="B36" s="55"/>
      <c r="C36" s="55"/>
      <c r="D36" s="50"/>
      <c r="E36" s="51"/>
      <c r="F36" s="50"/>
      <c r="G36" s="46"/>
      <c r="H36" s="46"/>
      <c r="I36" s="98"/>
      <c r="J36" s="58"/>
      <c r="K36" s="58"/>
      <c r="L36" s="59"/>
      <c r="M36" s="52"/>
      <c r="N36" s="98"/>
      <c r="O36" s="58"/>
      <c r="P36" s="58"/>
      <c r="Q36" s="59"/>
      <c r="R36" s="52"/>
      <c r="S36" s="98"/>
      <c r="T36" s="58"/>
      <c r="U36" s="58"/>
      <c r="V36" s="59"/>
      <c r="W36" s="52"/>
      <c r="X36" s="98"/>
      <c r="Y36" s="75"/>
      <c r="Z36" s="58"/>
      <c r="AA36" s="77"/>
      <c r="AB36" s="52"/>
      <c r="AC36" s="98"/>
      <c r="AD36" s="58"/>
      <c r="AE36" s="58"/>
      <c r="AF36" s="59"/>
      <c r="AG36" s="52"/>
      <c r="AH36" s="98"/>
      <c r="AI36" s="58"/>
      <c r="AJ36" s="58"/>
      <c r="AK36" s="59"/>
      <c r="AL36" s="52"/>
      <c r="AM36" s="98"/>
      <c r="AN36" s="58"/>
      <c r="AO36" s="58"/>
      <c r="AP36" s="59"/>
      <c r="AQ36" s="52"/>
      <c r="AR36" s="98"/>
      <c r="AS36" s="58"/>
      <c r="AT36" s="58"/>
      <c r="AU36" s="59"/>
      <c r="AV36" s="52"/>
      <c r="AW36" s="98"/>
      <c r="AX36" s="58"/>
      <c r="AY36" s="58"/>
      <c r="AZ36" s="59"/>
      <c r="BA36" s="52"/>
      <c r="BB36" s="98"/>
      <c r="BC36" s="58"/>
      <c r="BD36" s="58"/>
      <c r="BE36" s="59"/>
      <c r="BF36" s="52"/>
      <c r="BG36" s="98"/>
      <c r="BH36" s="62"/>
      <c r="BI36" s="62"/>
      <c r="BJ36" s="63"/>
      <c r="BK36" s="52"/>
      <c r="BL36" s="98"/>
      <c r="BM36" s="58"/>
      <c r="BN36" s="58"/>
      <c r="BO36" s="59"/>
      <c r="BP36" s="52"/>
      <c r="BQ36" s="97">
        <f t="shared" si="15"/>
        <v>3</v>
      </c>
      <c r="BR36" s="56"/>
      <c r="BS36" s="56"/>
      <c r="BT36" s="57"/>
      <c r="BU36" s="13">
        <f t="shared" si="63"/>
        <v>0</v>
      </c>
      <c r="BV36" s="97">
        <f t="shared" si="16"/>
        <v>3</v>
      </c>
      <c r="BW36" s="56"/>
      <c r="BX36" s="56"/>
      <c r="BY36" s="57"/>
      <c r="BZ36" s="13"/>
      <c r="CA36" s="97">
        <f t="shared" si="17"/>
        <v>3</v>
      </c>
      <c r="CB36" s="25"/>
      <c r="CC36" s="12" t="s">
        <v>0</v>
      </c>
      <c r="CD36" s="26"/>
      <c r="CE36" s="13">
        <f t="shared" si="64"/>
        <v>0</v>
      </c>
    </row>
    <row r="37" spans="1:83" ht="12.75" customHeight="1" outlineLevel="2" thickBot="1">
      <c r="A37" s="71">
        <v>46221.958333333336</v>
      </c>
      <c r="B37" s="34" t="str">
        <f>Faz_Puch_TAB_2026!B2</f>
        <v>Loser Match 101</v>
      </c>
      <c r="C37" s="35" t="str">
        <f>Faz_Puch_TAB_2026!C2</f>
        <v>Loser Match 102</v>
      </c>
      <c r="D37" s="43"/>
      <c r="E37" s="44" t="s">
        <v>0</v>
      </c>
      <c r="F37" s="43"/>
      <c r="G37">
        <f t="shared" si="40"/>
        <v>3</v>
      </c>
      <c r="H37" s="78">
        <v>9</v>
      </c>
      <c r="I37" s="97">
        <f t="shared" si="41"/>
        <v>3</v>
      </c>
      <c r="J37" s="56"/>
      <c r="K37" s="56" t="s">
        <v>0</v>
      </c>
      <c r="L37" s="57"/>
      <c r="M37" s="13">
        <f t="shared" si="42"/>
        <v>0</v>
      </c>
      <c r="N37" s="97">
        <f t="shared" si="43"/>
        <v>3</v>
      </c>
      <c r="O37" s="56"/>
      <c r="P37" s="56" t="s">
        <v>0</v>
      </c>
      <c r="Q37" s="57"/>
      <c r="R37" s="13">
        <f t="shared" si="44"/>
        <v>0</v>
      </c>
      <c r="S37" s="97">
        <f t="shared" si="45"/>
        <v>3</v>
      </c>
      <c r="T37" s="56"/>
      <c r="U37" s="56" t="s">
        <v>0</v>
      </c>
      <c r="V37" s="57"/>
      <c r="W37" s="13">
        <f t="shared" si="46"/>
        <v>0</v>
      </c>
      <c r="X37" s="97">
        <f t="shared" si="47"/>
        <v>3</v>
      </c>
      <c r="Y37" s="74"/>
      <c r="Z37" s="56" t="s">
        <v>0</v>
      </c>
      <c r="AA37" s="76"/>
      <c r="AB37" s="13">
        <f t="shared" si="48"/>
        <v>0</v>
      </c>
      <c r="AC37" s="97">
        <f t="shared" si="49"/>
        <v>3</v>
      </c>
      <c r="AD37" s="56"/>
      <c r="AE37" s="56" t="s">
        <v>0</v>
      </c>
      <c r="AF37" s="57"/>
      <c r="AG37" s="13">
        <f t="shared" si="50"/>
        <v>0</v>
      </c>
      <c r="AH37" s="97">
        <f t="shared" si="51"/>
        <v>3</v>
      </c>
      <c r="AI37" s="56"/>
      <c r="AJ37" s="56" t="s">
        <v>0</v>
      </c>
      <c r="AK37" s="57"/>
      <c r="AL37" s="13">
        <f t="shared" si="52"/>
        <v>0</v>
      </c>
      <c r="AM37" s="97">
        <f t="shared" si="53"/>
        <v>3</v>
      </c>
      <c r="AN37" s="56"/>
      <c r="AO37" s="56" t="s">
        <v>0</v>
      </c>
      <c r="AP37" s="57"/>
      <c r="AQ37" s="13">
        <f t="shared" si="54"/>
        <v>0</v>
      </c>
      <c r="AR37" s="97">
        <f t="shared" si="55"/>
        <v>3</v>
      </c>
      <c r="AS37" s="56"/>
      <c r="AT37" s="56" t="s">
        <v>0</v>
      </c>
      <c r="AU37" s="57"/>
      <c r="AV37" s="13">
        <f t="shared" si="56"/>
        <v>0</v>
      </c>
      <c r="AW37" s="97">
        <f t="shared" si="57"/>
        <v>3</v>
      </c>
      <c r="AX37" s="56"/>
      <c r="AY37" s="56" t="s">
        <v>0</v>
      </c>
      <c r="AZ37" s="57"/>
      <c r="BA37" s="13">
        <f t="shared" si="58"/>
        <v>0</v>
      </c>
      <c r="BB37" s="97">
        <f t="shared" si="59"/>
        <v>3</v>
      </c>
      <c r="BC37" s="56"/>
      <c r="BD37" s="56" t="s">
        <v>0</v>
      </c>
      <c r="BE37" s="57"/>
      <c r="BF37" s="13">
        <f t="shared" si="60"/>
        <v>0</v>
      </c>
      <c r="BG37" s="97">
        <f t="shared" si="13"/>
        <v>3</v>
      </c>
      <c r="BH37" s="64"/>
      <c r="BI37" s="64" t="s">
        <v>0</v>
      </c>
      <c r="BJ37" s="65"/>
      <c r="BK37" s="13">
        <f t="shared" si="61"/>
        <v>0</v>
      </c>
      <c r="BL37" s="97">
        <f t="shared" si="14"/>
        <v>3</v>
      </c>
      <c r="BM37" s="56"/>
      <c r="BN37" s="56" t="s">
        <v>0</v>
      </c>
      <c r="BO37" s="57"/>
      <c r="BP37" s="13">
        <f t="shared" si="62"/>
        <v>0</v>
      </c>
      <c r="BQ37" s="97">
        <f t="shared" si="15"/>
        <v>3</v>
      </c>
      <c r="BR37" s="56"/>
      <c r="BS37" s="56"/>
      <c r="BT37" s="57"/>
      <c r="BU37" s="13">
        <f t="shared" si="63"/>
        <v>0</v>
      </c>
      <c r="BV37" s="97">
        <f t="shared" si="16"/>
        <v>3</v>
      </c>
      <c r="BW37" s="56"/>
      <c r="BX37" s="56"/>
      <c r="BY37" s="57"/>
      <c r="BZ37" s="13"/>
      <c r="CA37" s="97">
        <f t="shared" si="17"/>
        <v>3</v>
      </c>
      <c r="CB37" s="25"/>
      <c r="CC37" s="12" t="s">
        <v>0</v>
      </c>
      <c r="CD37" s="26"/>
      <c r="CE37" s="13">
        <f t="shared" si="64"/>
        <v>0</v>
      </c>
    </row>
    <row r="38" spans="1:83" ht="12.75" customHeight="1" outlineLevel="2" thickBot="1">
      <c r="A38" s="72" t="s">
        <v>253</v>
      </c>
      <c r="B38" s="55"/>
      <c r="C38" s="55"/>
      <c r="D38" s="50"/>
      <c r="E38" s="51"/>
      <c r="F38" s="50"/>
      <c r="G38" s="46"/>
      <c r="H38" s="46"/>
      <c r="I38" s="98"/>
      <c r="J38" s="58"/>
      <c r="K38" s="58"/>
      <c r="L38" s="59"/>
      <c r="M38" s="52"/>
      <c r="N38" s="98"/>
      <c r="O38" s="58"/>
      <c r="P38" s="58"/>
      <c r="Q38" s="59"/>
      <c r="R38" s="52"/>
      <c r="S38" s="98"/>
      <c r="T38" s="58"/>
      <c r="U38" s="58"/>
      <c r="V38" s="59"/>
      <c r="W38" s="52"/>
      <c r="X38" s="98"/>
      <c r="Y38" s="75"/>
      <c r="Z38" s="58"/>
      <c r="AA38" s="77"/>
      <c r="AB38" s="52"/>
      <c r="AC38" s="98"/>
      <c r="AD38" s="58"/>
      <c r="AE38" s="58"/>
      <c r="AF38" s="59"/>
      <c r="AG38" s="52"/>
      <c r="AH38" s="98"/>
      <c r="AI38" s="58"/>
      <c r="AJ38" s="58"/>
      <c r="AK38" s="59"/>
      <c r="AL38" s="52"/>
      <c r="AM38" s="98"/>
      <c r="AN38" s="58"/>
      <c r="AO38" s="58"/>
      <c r="AP38" s="59"/>
      <c r="AQ38" s="52"/>
      <c r="AR38" s="98"/>
      <c r="AS38" s="58"/>
      <c r="AT38" s="58"/>
      <c r="AU38" s="59"/>
      <c r="AV38" s="52"/>
      <c r="AW38" s="98"/>
      <c r="AX38" s="58"/>
      <c r="AY38" s="58"/>
      <c r="AZ38" s="59"/>
      <c r="BA38" s="52"/>
      <c r="BB38" s="98"/>
      <c r="BC38" s="58"/>
      <c r="BD38" s="58"/>
      <c r="BE38" s="59"/>
      <c r="BF38" s="52"/>
      <c r="BG38" s="98"/>
      <c r="BH38" s="62"/>
      <c r="BI38" s="62"/>
      <c r="BJ38" s="63"/>
      <c r="BK38" s="52"/>
      <c r="BL38" s="98"/>
      <c r="BM38" s="58"/>
      <c r="BN38" s="58"/>
      <c r="BO38" s="59"/>
      <c r="BP38" s="52"/>
      <c r="BQ38" s="97">
        <f t="shared" si="15"/>
        <v>3</v>
      </c>
      <c r="BR38" s="56"/>
      <c r="BS38" s="56"/>
      <c r="BT38" s="57"/>
      <c r="BU38" s="13">
        <f t="shared" si="63"/>
        <v>0</v>
      </c>
      <c r="BV38" s="97">
        <f t="shared" si="16"/>
        <v>3</v>
      </c>
      <c r="BW38" s="56"/>
      <c r="BX38" s="56"/>
      <c r="BY38" s="57"/>
      <c r="BZ38" s="13"/>
      <c r="CA38" s="97">
        <f t="shared" si="17"/>
        <v>3</v>
      </c>
      <c r="CB38" s="25"/>
      <c r="CC38" s="12" t="s">
        <v>0</v>
      </c>
      <c r="CD38" s="26"/>
      <c r="CE38" s="13">
        <f t="shared" si="64"/>
        <v>0</v>
      </c>
    </row>
    <row r="39" spans="1:83" ht="14.4" outlineLevel="2" thickBot="1">
      <c r="A39" s="71">
        <v>46222.875</v>
      </c>
      <c r="B39" s="38" t="str">
        <f>Faz_Puch_TAB_2026!B4</f>
        <v>Winner Match 101</v>
      </c>
      <c r="C39" s="39" t="str">
        <f>Faz_Puch_TAB_2026!C4</f>
        <v>Winner Match 102</v>
      </c>
      <c r="D39" s="43"/>
      <c r="E39" s="44" t="s">
        <v>0</v>
      </c>
      <c r="F39" s="43"/>
      <c r="G39" s="14">
        <f t="shared" si="40"/>
        <v>3</v>
      </c>
      <c r="H39" s="47"/>
      <c r="I39" s="99">
        <f t="shared" si="41"/>
        <v>3</v>
      </c>
      <c r="J39" s="56"/>
      <c r="K39" s="56" t="s">
        <v>0</v>
      </c>
      <c r="L39" s="57"/>
      <c r="M39" s="11">
        <f t="shared" si="42"/>
        <v>0</v>
      </c>
      <c r="N39" s="99">
        <f t="shared" si="2"/>
        <v>3</v>
      </c>
      <c r="O39" s="56"/>
      <c r="P39" s="56" t="s">
        <v>0</v>
      </c>
      <c r="Q39" s="57"/>
      <c r="R39" s="11">
        <f t="shared" si="31"/>
        <v>0</v>
      </c>
      <c r="S39" s="99">
        <f t="shared" si="3"/>
        <v>3</v>
      </c>
      <c r="T39" s="56"/>
      <c r="U39" s="56" t="s">
        <v>0</v>
      </c>
      <c r="V39" s="57"/>
      <c r="W39" s="11">
        <f t="shared" si="32"/>
        <v>0</v>
      </c>
      <c r="X39" s="99">
        <f t="shared" si="4"/>
        <v>3</v>
      </c>
      <c r="Y39" s="56"/>
      <c r="Z39" s="56" t="s">
        <v>0</v>
      </c>
      <c r="AA39" s="57"/>
      <c r="AB39" s="11">
        <f t="shared" si="48"/>
        <v>0</v>
      </c>
      <c r="AC39" s="99">
        <f t="shared" si="5"/>
        <v>3</v>
      </c>
      <c r="AD39" s="56"/>
      <c r="AE39" s="56" t="s">
        <v>0</v>
      </c>
      <c r="AF39" s="57"/>
      <c r="AG39" s="11">
        <f t="shared" si="50"/>
        <v>0</v>
      </c>
      <c r="AH39" s="99">
        <f t="shared" si="6"/>
        <v>3</v>
      </c>
      <c r="AI39" s="56"/>
      <c r="AJ39" s="56" t="s">
        <v>0</v>
      </c>
      <c r="AK39" s="57"/>
      <c r="AL39" s="11">
        <f t="shared" si="52"/>
        <v>0</v>
      </c>
      <c r="AM39" s="99">
        <f t="shared" si="7"/>
        <v>3</v>
      </c>
      <c r="AN39" s="56"/>
      <c r="AO39" s="56" t="s">
        <v>0</v>
      </c>
      <c r="AP39" s="57"/>
      <c r="AQ39" s="11">
        <f t="shared" si="54"/>
        <v>0</v>
      </c>
      <c r="AR39" s="99">
        <f t="shared" si="8"/>
        <v>3</v>
      </c>
      <c r="AS39" s="56"/>
      <c r="AT39" s="56" t="s">
        <v>0</v>
      </c>
      <c r="AU39" s="57"/>
      <c r="AV39" s="11">
        <f t="shared" si="56"/>
        <v>0</v>
      </c>
      <c r="AW39" s="99">
        <f t="shared" si="9"/>
        <v>3</v>
      </c>
      <c r="AX39" s="56"/>
      <c r="AY39" s="56" t="s">
        <v>0</v>
      </c>
      <c r="AZ39" s="57"/>
      <c r="BA39" s="11">
        <f t="shared" si="58"/>
        <v>0</v>
      </c>
      <c r="BB39" s="99">
        <f t="shared" si="11"/>
        <v>3</v>
      </c>
      <c r="BC39" s="56"/>
      <c r="BD39" s="56" t="s">
        <v>0</v>
      </c>
      <c r="BE39" s="57"/>
      <c r="BF39" s="11">
        <f t="shared" si="60"/>
        <v>0</v>
      </c>
      <c r="BG39" s="99">
        <f t="shared" si="13"/>
        <v>3</v>
      </c>
      <c r="BH39" s="68"/>
      <c r="BI39" s="68" t="s">
        <v>0</v>
      </c>
      <c r="BJ39" s="69"/>
      <c r="BK39" s="11">
        <f>IF(OR(D39="",BH39=""),0,IF((BH39=D39)*(BJ39=F39),3,IF(BG39=G39,1,0)))</f>
        <v>0</v>
      </c>
      <c r="BL39" s="99">
        <f t="shared" si="14"/>
        <v>3</v>
      </c>
      <c r="BM39" s="56"/>
      <c r="BN39" s="56" t="s">
        <v>0</v>
      </c>
      <c r="BO39" s="57"/>
      <c r="BP39" s="11">
        <f>IF(OR(D39="",BM39=""),0,IF((BM39=D39)*(BO39=F39),3,IF(BL39=G39,1,0)))</f>
        <v>0</v>
      </c>
      <c r="BQ39" s="99">
        <f t="shared" si="15"/>
        <v>3</v>
      </c>
      <c r="BR39" s="56"/>
      <c r="BS39" s="56" t="s">
        <v>0</v>
      </c>
      <c r="BT39" s="57"/>
      <c r="BU39" s="11">
        <f>IF(OR(D39="",BR39=""),0,IF((BR39=D39)*(BT39=F39),3,IF(BQ39=G39,1,0)))</f>
        <v>0</v>
      </c>
      <c r="BV39" s="99">
        <f t="shared" si="16"/>
        <v>3</v>
      </c>
      <c r="BW39" s="56"/>
      <c r="BX39" s="56" t="s">
        <v>0</v>
      </c>
      <c r="BY39" s="57"/>
      <c r="BZ39" s="11">
        <f>IF(OR(D39="",BW39=""),0,IF((BW39=D39)*(BY39=F39),3,IF(BV39=G39,1,0)))</f>
        <v>0</v>
      </c>
      <c r="CA39" s="99">
        <f t="shared" si="17"/>
        <v>3</v>
      </c>
      <c r="CB39" s="23"/>
      <c r="CC39" s="15" t="s">
        <v>0</v>
      </c>
      <c r="CD39" s="24"/>
      <c r="CE39" s="11">
        <f>IF(OR(D39="",CB39=""),0,IF((CB39=D39)*(CD39=F39),3,IF(CA39=G39,1,0)))</f>
        <v>0</v>
      </c>
    </row>
    <row r="40" spans="1:83" ht="16.2" thickBot="1">
      <c r="M40" s="16">
        <f>SUM(M3:M39)</f>
        <v>24</v>
      </c>
      <c r="R40" s="16">
        <f>SUM(R3:R39)</f>
        <v>0</v>
      </c>
      <c r="W40" s="16">
        <f>SUM(W3:W39)</f>
        <v>14</v>
      </c>
      <c r="AB40" s="16">
        <f>SUM(AB3:AB39)</f>
        <v>30</v>
      </c>
      <c r="AG40" s="16">
        <f>SUM(AG3:AG39)</f>
        <v>28</v>
      </c>
      <c r="AL40" s="16">
        <f>SUM(AL3:AL39)</f>
        <v>18</v>
      </c>
      <c r="AQ40" s="16">
        <f>SUM(AQ3:AQ39)</f>
        <v>0</v>
      </c>
      <c r="AV40" s="16">
        <f>SUM(AV3:AV39)</f>
        <v>26</v>
      </c>
      <c r="BA40" s="16">
        <f>SUM(BA3:BA39)</f>
        <v>0</v>
      </c>
      <c r="BF40" s="16">
        <f>SUM(BF3:BF39)</f>
        <v>0</v>
      </c>
      <c r="BK40" s="16">
        <f>SUM(BK3:BK39)</f>
        <v>0</v>
      </c>
      <c r="BP40" s="16">
        <f>SUM(BP3:BP39)</f>
        <v>0</v>
      </c>
      <c r="BU40" s="16">
        <f>SUM(BU3:BU39)</f>
        <v>0</v>
      </c>
      <c r="BZ40" s="16">
        <f>SUM(BZ3:BZ39)</f>
        <v>0</v>
      </c>
      <c r="CE40" s="16">
        <f>SUM(CE3:CE39)</f>
        <v>0</v>
      </c>
    </row>
    <row r="41" spans="1:83" ht="12.75" customHeight="1">
      <c r="M41" s="60">
        <f>COUNTIF(M3:M39, 3)</f>
        <v>4</v>
      </c>
      <c r="N41" s="61"/>
      <c r="O41" s="61"/>
      <c r="P41" s="61"/>
      <c r="Q41" s="61"/>
      <c r="R41" s="60">
        <f>COUNTIF(R3:R39, 3)</f>
        <v>0</v>
      </c>
      <c r="S41" s="61"/>
      <c r="T41" s="61"/>
      <c r="U41" s="61"/>
      <c r="V41" s="61"/>
      <c r="W41" s="60">
        <f>COUNTIF(W3:W39, 3)</f>
        <v>0</v>
      </c>
      <c r="X41" s="61"/>
      <c r="Y41" s="61"/>
      <c r="Z41" s="61"/>
      <c r="AA41" s="61"/>
      <c r="AB41" s="60">
        <f>COUNTIF(AB3:AB39, 3)</f>
        <v>6</v>
      </c>
      <c r="AC41" s="61"/>
      <c r="AD41" s="61"/>
      <c r="AE41" s="61"/>
      <c r="AF41" s="61"/>
      <c r="AG41" s="60">
        <f>COUNTIF(AG3:AG39,3)</f>
        <v>5</v>
      </c>
      <c r="AH41" s="61"/>
      <c r="AI41" s="61"/>
      <c r="AJ41" s="61"/>
      <c r="AK41" s="61"/>
      <c r="AL41" s="60">
        <f>COUNTIF(AL3:AL39, 3)</f>
        <v>4</v>
      </c>
      <c r="AM41" s="61"/>
      <c r="AN41" s="61"/>
      <c r="AO41" s="61"/>
      <c r="AP41" s="61"/>
      <c r="AQ41" s="60">
        <f>COUNTIF(AQ3:AQ39, 3)</f>
        <v>0</v>
      </c>
      <c r="AR41" s="61"/>
      <c r="AS41" s="61"/>
      <c r="AT41" s="61"/>
      <c r="AU41" s="61"/>
      <c r="AV41" s="60">
        <f>COUNTIF(AV3:AV39, 3)</f>
        <v>4</v>
      </c>
      <c r="AW41" s="18"/>
      <c r="AX41" s="18"/>
      <c r="AY41" s="18"/>
      <c r="AZ41" s="18"/>
      <c r="BA41" s="60">
        <f>COUNTIF(BA3:BA39, 3)</f>
        <v>0</v>
      </c>
      <c r="BB41" s="18"/>
      <c r="BC41" s="18"/>
      <c r="BD41" s="18"/>
      <c r="BE41" s="18"/>
      <c r="BF41" s="27">
        <f>COUNTIF(BF3:BF39, 3)</f>
        <v>0</v>
      </c>
      <c r="BG41" s="18"/>
      <c r="BH41" s="61"/>
      <c r="BI41" s="61"/>
      <c r="BJ41" s="61"/>
      <c r="BK41" s="60">
        <f>COUNTIF(BK3:BK39, 3)</f>
        <v>0</v>
      </c>
      <c r="BL41" s="18"/>
      <c r="BM41" s="18"/>
      <c r="BN41" s="18"/>
      <c r="BO41" s="18"/>
      <c r="BP41" s="27">
        <f>COUNTIF(BP3:BP39, 3)</f>
        <v>0</v>
      </c>
      <c r="BQ41" s="18"/>
      <c r="BR41" s="18"/>
      <c r="BS41" s="18"/>
      <c r="BT41" s="18"/>
      <c r="BU41" s="27">
        <f>COUNTIF(BU3:BU39, 3)</f>
        <v>0</v>
      </c>
      <c r="BV41" s="18"/>
      <c r="BW41" s="18"/>
      <c r="BX41" s="18"/>
      <c r="BY41" s="18"/>
      <c r="BZ41" s="27">
        <f>COUNTIF(BZ3:BZ39, 3)</f>
        <v>0</v>
      </c>
      <c r="CA41" s="18"/>
      <c r="CB41" s="18"/>
      <c r="CC41" s="18"/>
      <c r="CD41" s="18"/>
      <c r="CE41" s="27">
        <f>COUNTIF(CE3:CE39, 3)</f>
        <v>0</v>
      </c>
    </row>
    <row r="42" spans="1:83" ht="21" customHeight="1">
      <c r="B42" s="94" t="s">
        <v>3</v>
      </c>
      <c r="C42" s="95" t="s">
        <v>127</v>
      </c>
      <c r="D42" s="95" t="s">
        <v>6</v>
      </c>
      <c r="E42" s="94"/>
      <c r="F42" s="96"/>
      <c r="G42" s="96"/>
      <c r="H42" s="96" t="s">
        <v>142</v>
      </c>
      <c r="I42" s="100"/>
      <c r="J42" s="81"/>
      <c r="K42" s="81"/>
      <c r="L42" s="81"/>
      <c r="M42" s="81"/>
      <c r="P42" s="17"/>
      <c r="Q42" s="17"/>
      <c r="R42" s="17"/>
      <c r="S42" s="17"/>
      <c r="T42" s="17"/>
      <c r="U42" s="17"/>
      <c r="V42" s="17"/>
      <c r="W42" s="17"/>
      <c r="X42" s="17"/>
      <c r="Y42" s="17"/>
    </row>
    <row r="43" spans="1:83" ht="27" customHeight="1">
      <c r="A43" s="73"/>
      <c r="B43" s="82">
        <v>1</v>
      </c>
      <c r="C43" s="83" t="s">
        <v>133</v>
      </c>
      <c r="D43" s="84">
        <v>30</v>
      </c>
      <c r="E43" s="83"/>
      <c r="F43" s="83"/>
      <c r="G43" s="83"/>
      <c r="H43" s="84">
        <v>6</v>
      </c>
      <c r="I43" s="101"/>
      <c r="J43" s="28"/>
      <c r="K43" s="9"/>
      <c r="L43" s="9"/>
      <c r="M43" s="9"/>
      <c r="N43" s="3"/>
      <c r="P43" s="3"/>
      <c r="Q43" s="3"/>
      <c r="R43" s="3"/>
      <c r="S43" s="3"/>
      <c r="T43" s="3"/>
      <c r="U43" s="4"/>
      <c r="V43" s="3"/>
      <c r="W43" s="3"/>
      <c r="Z43" s="5"/>
      <c r="AA43" s="6"/>
    </row>
    <row r="44" spans="1:83" ht="24" customHeight="1">
      <c r="A44" s="73"/>
      <c r="B44" s="85">
        <v>2</v>
      </c>
      <c r="C44" s="86" t="s">
        <v>128</v>
      </c>
      <c r="D44" s="87">
        <v>28</v>
      </c>
      <c r="E44" s="86"/>
      <c r="F44" s="86"/>
      <c r="G44" s="86"/>
      <c r="H44" s="87">
        <v>5</v>
      </c>
      <c r="I44" s="102"/>
      <c r="J44" s="30"/>
      <c r="K44" s="8"/>
      <c r="L44" s="8"/>
      <c r="M44" s="8"/>
      <c r="O44" s="10"/>
      <c r="AA44" s="6"/>
    </row>
    <row r="45" spans="1:83" ht="21" customHeight="1">
      <c r="A45" s="73"/>
      <c r="B45" s="88">
        <v>3</v>
      </c>
      <c r="C45" s="89" t="s">
        <v>140</v>
      </c>
      <c r="D45" s="90">
        <v>26</v>
      </c>
      <c r="E45" s="89"/>
      <c r="F45" s="89"/>
      <c r="G45" s="89"/>
      <c r="H45" s="90">
        <v>4</v>
      </c>
      <c r="I45" s="103"/>
      <c r="J45" s="29"/>
      <c r="K45" s="8"/>
      <c r="L45" s="8"/>
      <c r="M45" s="8"/>
      <c r="O45" s="10"/>
      <c r="AA45" s="6"/>
    </row>
    <row r="46" spans="1:83" ht="18" customHeight="1">
      <c r="A46" s="73"/>
      <c r="B46" s="91">
        <v>4</v>
      </c>
      <c r="C46" s="92" t="s">
        <v>1</v>
      </c>
      <c r="D46" s="93">
        <v>24</v>
      </c>
      <c r="E46" s="92"/>
      <c r="F46" s="92"/>
      <c r="G46" s="92"/>
      <c r="H46" s="93">
        <v>4</v>
      </c>
      <c r="I46" s="104"/>
      <c r="J46" s="8"/>
      <c r="K46" s="8"/>
      <c r="L46" s="8"/>
      <c r="M46" s="8"/>
      <c r="O46" s="10"/>
    </row>
    <row r="47" spans="1:83" ht="18" customHeight="1">
      <c r="A47" s="73"/>
      <c r="B47" s="91">
        <v>5</v>
      </c>
      <c r="C47" s="92" t="s">
        <v>5</v>
      </c>
      <c r="D47" s="93">
        <v>18</v>
      </c>
      <c r="E47" s="92"/>
      <c r="F47" s="92"/>
      <c r="G47" s="92"/>
      <c r="H47" s="93">
        <v>4</v>
      </c>
      <c r="I47" s="104"/>
      <c r="J47" s="10"/>
      <c r="K47" s="8"/>
      <c r="L47" s="8"/>
      <c r="M47" s="8"/>
      <c r="O47" s="10"/>
    </row>
    <row r="48" spans="1:83" ht="18" customHeight="1">
      <c r="A48" s="73"/>
      <c r="B48" s="91">
        <v>6</v>
      </c>
      <c r="C48" s="92" t="s">
        <v>7</v>
      </c>
      <c r="D48" s="93">
        <v>14</v>
      </c>
      <c r="E48" s="92"/>
      <c r="F48" s="92"/>
      <c r="G48" s="92"/>
      <c r="H48" s="93">
        <v>0</v>
      </c>
      <c r="I48" s="104"/>
      <c r="J48" s="10"/>
      <c r="K48" s="8"/>
      <c r="L48" s="8"/>
      <c r="M48" s="8"/>
      <c r="O48" s="10"/>
    </row>
    <row r="49" spans="1:15" ht="18" customHeight="1">
      <c r="A49" s="73"/>
      <c r="B49" s="116"/>
      <c r="C49" s="117"/>
      <c r="D49" s="118"/>
      <c r="E49" s="117"/>
      <c r="F49" s="117"/>
      <c r="G49" s="117"/>
      <c r="H49" s="118"/>
      <c r="I49" s="104"/>
      <c r="J49" s="10"/>
      <c r="K49" s="8"/>
      <c r="L49" s="8"/>
      <c r="M49" s="8"/>
      <c r="O49" s="10"/>
    </row>
    <row r="50" spans="1:15" ht="18" customHeight="1">
      <c r="A50" s="73"/>
      <c r="B50" s="116"/>
      <c r="C50" s="117"/>
      <c r="D50" s="118"/>
      <c r="E50" s="117"/>
      <c r="F50" s="117"/>
      <c r="G50" s="117"/>
      <c r="H50" s="118"/>
      <c r="I50" s="104"/>
      <c r="J50" s="10"/>
      <c r="K50" s="8"/>
      <c r="L50" s="8"/>
      <c r="M50" s="8"/>
      <c r="O50" s="10"/>
    </row>
    <row r="51" spans="1:15" ht="18" customHeight="1">
      <c r="A51" s="73"/>
      <c r="B51" s="116"/>
      <c r="C51" s="117"/>
      <c r="D51" s="118"/>
      <c r="E51" s="117"/>
      <c r="F51" s="117"/>
      <c r="G51" s="117"/>
      <c r="H51" s="118"/>
      <c r="I51" s="104"/>
      <c r="J51" s="10"/>
      <c r="K51" s="8"/>
      <c r="L51" s="8"/>
      <c r="M51" s="8"/>
      <c r="O51" s="10"/>
    </row>
    <row r="52" spans="1:15" ht="18" customHeight="1">
      <c r="A52" s="73"/>
      <c r="B52" s="116"/>
      <c r="C52" s="117"/>
      <c r="D52" s="118"/>
      <c r="E52" s="117"/>
      <c r="F52" s="117"/>
      <c r="G52" s="117"/>
      <c r="H52" s="118"/>
      <c r="I52" s="104"/>
      <c r="J52" s="10"/>
      <c r="K52" s="31"/>
      <c r="L52" s="31"/>
      <c r="M52" s="8"/>
      <c r="O52" s="10"/>
    </row>
    <row r="53" spans="1:15" ht="18" customHeight="1">
      <c r="A53" s="73"/>
      <c r="B53" s="116"/>
      <c r="C53" s="117"/>
      <c r="D53" s="118"/>
      <c r="E53" s="117"/>
      <c r="F53" s="117"/>
      <c r="G53" s="117"/>
      <c r="H53" s="118"/>
      <c r="I53" s="104"/>
      <c r="J53" s="10"/>
      <c r="K53" s="31"/>
      <c r="L53" s="31"/>
      <c r="M53" s="8"/>
      <c r="O53" s="10"/>
    </row>
    <row r="54" spans="1:15" ht="18" customHeight="1">
      <c r="A54" s="73"/>
      <c r="B54" s="116"/>
      <c r="C54" s="117"/>
      <c r="D54" s="118"/>
      <c r="E54" s="117"/>
      <c r="F54" s="117"/>
      <c r="G54" s="117"/>
      <c r="H54" s="118"/>
      <c r="I54" s="104"/>
      <c r="J54" s="10"/>
      <c r="K54" s="31"/>
      <c r="L54" s="31"/>
      <c r="M54" s="8"/>
      <c r="O54" s="10"/>
    </row>
    <row r="55" spans="1:15" ht="15">
      <c r="B55" s="113"/>
      <c r="C55" s="114"/>
      <c r="D55" s="114"/>
      <c r="E55" s="114"/>
      <c r="F55" s="114"/>
      <c r="G55" s="114"/>
      <c r="H55" s="114"/>
      <c r="I55" s="104"/>
      <c r="J55" s="10"/>
      <c r="K55" s="31"/>
      <c r="L55" s="31"/>
      <c r="M55" s="8"/>
      <c r="O55" s="10"/>
    </row>
    <row r="56" spans="1:15" ht="15">
      <c r="B56" s="113"/>
      <c r="C56" s="114"/>
      <c r="D56" s="114"/>
      <c r="E56" s="114"/>
      <c r="F56" s="114"/>
      <c r="G56" s="114"/>
      <c r="H56" s="114"/>
      <c r="I56" s="104"/>
      <c r="J56" s="10"/>
      <c r="K56" s="31"/>
      <c r="L56" s="31"/>
      <c r="M56" s="8"/>
      <c r="O56" s="10"/>
    </row>
    <row r="57" spans="1:15" ht="15">
      <c r="B57" s="113"/>
      <c r="C57" s="114"/>
      <c r="D57" s="114"/>
      <c r="E57" s="114"/>
      <c r="F57" s="114"/>
      <c r="G57" s="114"/>
      <c r="H57" s="114"/>
      <c r="I57" s="104"/>
      <c r="J57" s="10"/>
      <c r="K57" s="31"/>
      <c r="L57" s="31"/>
      <c r="M57" s="8"/>
      <c r="O57" s="10"/>
    </row>
    <row r="58" spans="1:15" ht="15" hidden="1">
      <c r="B58" s="114"/>
      <c r="C58" s="114"/>
      <c r="D58" s="114"/>
      <c r="E58" s="114"/>
      <c r="F58" s="114"/>
      <c r="G58" s="114"/>
      <c r="H58" s="114"/>
      <c r="I58" s="104"/>
      <c r="J58" s="10"/>
      <c r="K58" s="31"/>
      <c r="L58" s="31"/>
      <c r="M58" s="8"/>
      <c r="O58" s="10"/>
    </row>
    <row r="59" spans="1:15" ht="15" hidden="1">
      <c r="B59" s="114"/>
      <c r="C59" s="114"/>
      <c r="D59" s="114"/>
      <c r="E59" s="114"/>
      <c r="F59" s="114"/>
      <c r="G59" s="114"/>
      <c r="H59" s="114"/>
      <c r="I59" s="104"/>
      <c r="J59" s="10"/>
      <c r="K59" s="31"/>
      <c r="L59" s="31"/>
      <c r="M59" s="8"/>
    </row>
    <row r="60" spans="1:15" ht="15" hidden="1">
      <c r="B60" s="114"/>
      <c r="C60" s="114"/>
      <c r="D60" s="114"/>
      <c r="E60" s="114"/>
      <c r="F60" s="114"/>
      <c r="G60" s="114"/>
      <c r="H60" s="114"/>
      <c r="I60" s="104"/>
      <c r="J60" s="10"/>
      <c r="K60" s="31"/>
      <c r="L60" s="31"/>
      <c r="M60" s="8"/>
    </row>
    <row r="61" spans="1:15" ht="15" hidden="1">
      <c r="B61" s="114"/>
      <c r="C61" s="115"/>
      <c r="D61" s="115"/>
      <c r="E61" s="115"/>
      <c r="F61" s="115"/>
      <c r="G61" s="115"/>
      <c r="H61" s="115"/>
      <c r="J61" s="42"/>
    </row>
    <row r="62" spans="1:15" ht="15" hidden="1">
      <c r="B62" s="114"/>
      <c r="C62" s="115"/>
      <c r="D62" s="115"/>
      <c r="E62" s="115"/>
      <c r="F62" s="115"/>
      <c r="G62" s="115"/>
      <c r="H62" s="115"/>
      <c r="J62" s="42"/>
    </row>
    <row r="63" spans="1:15" ht="15" hidden="1">
      <c r="B63" s="115"/>
      <c r="C63" s="115"/>
      <c r="D63" s="115"/>
      <c r="E63" s="115"/>
      <c r="F63" s="115"/>
      <c r="G63" s="115"/>
      <c r="H63" s="115"/>
      <c r="J63" s="42"/>
    </row>
    <row r="64" spans="1:15" hidden="1">
      <c r="B64" s="42"/>
      <c r="C64" s="42"/>
      <c r="D64" s="42"/>
      <c r="E64" s="42"/>
      <c r="F64" s="42"/>
      <c r="G64" s="42"/>
      <c r="H64" s="42"/>
      <c r="J64" s="42"/>
    </row>
    <row r="65" spans="2:83" hidden="1">
      <c r="B65" s="42"/>
      <c r="C65" s="42"/>
      <c r="D65" s="42"/>
      <c r="E65" s="42"/>
      <c r="F65" s="42"/>
      <c r="G65" s="42"/>
      <c r="H65" s="42"/>
      <c r="J65" s="42"/>
    </row>
    <row r="66" spans="2:83" hidden="1">
      <c r="B66" s="42"/>
      <c r="C66" s="42"/>
      <c r="D66" s="42"/>
      <c r="E66" s="42"/>
      <c r="F66" s="42"/>
      <c r="G66" s="42"/>
    </row>
    <row r="67" spans="2:83" hidden="1">
      <c r="B67" s="42"/>
      <c r="C67" s="42"/>
      <c r="D67" s="42"/>
      <c r="E67" s="42"/>
      <c r="F67" s="42"/>
      <c r="G67" s="42"/>
    </row>
    <row r="68" spans="2:83" hidden="1">
      <c r="B68" s="42"/>
      <c r="C68" s="42"/>
      <c r="D68" s="42"/>
      <c r="E68" s="42"/>
      <c r="F68" s="42"/>
      <c r="G68" s="42"/>
    </row>
    <row r="69" spans="2:83" hidden="1">
      <c r="B69" s="42"/>
      <c r="C69" s="42"/>
      <c r="D69" s="42"/>
      <c r="E69" s="42"/>
      <c r="F69" s="42"/>
      <c r="G69" s="42"/>
    </row>
    <row r="70" spans="2:83" hidden="1">
      <c r="B70" s="42"/>
      <c r="C70" s="42"/>
      <c r="D70" s="42"/>
      <c r="E70" s="42"/>
      <c r="F70" s="42"/>
      <c r="G70" s="42"/>
    </row>
    <row r="71" spans="2:83" hidden="1">
      <c r="B71" s="42"/>
      <c r="C71" s="42"/>
      <c r="D71" s="42"/>
      <c r="E71" s="42"/>
      <c r="F71" s="42"/>
      <c r="G71" s="42"/>
    </row>
    <row r="72" spans="2:83"/>
    <row r="73" spans="2:83"/>
    <row r="74" spans="2:83"/>
    <row r="75" spans="2:83"/>
    <row r="76" spans="2:83" s="70" customFormat="1">
      <c r="B76"/>
      <c r="C76"/>
      <c r="D76"/>
      <c r="E76"/>
      <c r="F76"/>
      <c r="G76"/>
      <c r="H76"/>
      <c r="I76" s="97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</row>
    <row r="77" spans="2:83" s="70" customFormat="1">
      <c r="B77"/>
      <c r="C77"/>
      <c r="D77"/>
      <c r="E77"/>
      <c r="F77"/>
      <c r="G77"/>
      <c r="H77"/>
      <c r="I77" s="9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</row>
    <row r="78" spans="2:83" s="70" customFormat="1">
      <c r="B78"/>
      <c r="C78"/>
      <c r="D78"/>
      <c r="E78"/>
      <c r="F78"/>
      <c r="G78"/>
      <c r="H78"/>
      <c r="I78" s="97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</row>
    <row r="79" spans="2:83" s="70" customFormat="1">
      <c r="B79"/>
      <c r="C79"/>
      <c r="D79"/>
      <c r="E79"/>
      <c r="F79"/>
      <c r="G79"/>
      <c r="H79"/>
      <c r="I79" s="97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</row>
    <row r="80" spans="2:83" s="70" customFormat="1">
      <c r="B80"/>
      <c r="C80"/>
      <c r="D80"/>
      <c r="E80"/>
      <c r="F80"/>
      <c r="G80"/>
      <c r="H80"/>
      <c r="I80" s="97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</row>
    <row r="81" spans="2:83" s="70" customFormat="1">
      <c r="B81"/>
      <c r="C81"/>
      <c r="D81"/>
      <c r="E81"/>
      <c r="F81"/>
      <c r="G81"/>
      <c r="H81"/>
      <c r="I81" s="97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</row>
    <row r="82" spans="2:83" s="70" customFormat="1">
      <c r="B82"/>
      <c r="C82"/>
      <c r="D82"/>
      <c r="E82"/>
      <c r="F82"/>
      <c r="G82"/>
      <c r="H82"/>
      <c r="I82" s="97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</row>
    <row r="83" spans="2:83" s="70" customFormat="1">
      <c r="B83"/>
      <c r="C83"/>
      <c r="D83"/>
      <c r="E83"/>
      <c r="F83"/>
      <c r="G83"/>
      <c r="H83"/>
      <c r="I83" s="97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</row>
    <row r="84" spans="2:83" s="70" customFormat="1">
      <c r="B84"/>
      <c r="C84"/>
      <c r="D84"/>
      <c r="E84"/>
      <c r="F84"/>
      <c r="G84"/>
      <c r="H84"/>
      <c r="I84" s="97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</row>
    <row r="85" spans="2:83" s="70" customFormat="1">
      <c r="B85"/>
      <c r="C85"/>
      <c r="D85"/>
      <c r="E85"/>
      <c r="F85"/>
      <c r="G85"/>
      <c r="H85"/>
      <c r="I85" s="97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</row>
    <row r="86" spans="2:83" s="70" customFormat="1">
      <c r="B86"/>
      <c r="C86"/>
      <c r="D86"/>
      <c r="E86"/>
      <c r="F86"/>
      <c r="G86"/>
      <c r="H86"/>
      <c r="I86" s="97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</row>
    <row r="87" spans="2:83" s="70" customFormat="1">
      <c r="B87"/>
      <c r="C87"/>
      <c r="D87"/>
      <c r="E87"/>
      <c r="F87"/>
      <c r="G87"/>
      <c r="H87"/>
      <c r="I87" s="9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</row>
    <row r="88" spans="2:83" s="70" customFormat="1">
      <c r="B88"/>
      <c r="C88"/>
      <c r="D88"/>
      <c r="E88"/>
      <c r="F88"/>
      <c r="G88"/>
      <c r="H88"/>
      <c r="I88" s="97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</row>
    <row r="89" spans="2:83" s="70" customFormat="1">
      <c r="B89"/>
      <c r="C89"/>
      <c r="D89"/>
      <c r="E89"/>
      <c r="F89"/>
      <c r="G89"/>
      <c r="H89"/>
      <c r="I89" s="97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</row>
    <row r="90" spans="2:83" s="70" customFormat="1">
      <c r="B90"/>
      <c r="C90"/>
      <c r="D90"/>
      <c r="E90"/>
      <c r="F90"/>
      <c r="G90"/>
      <c r="H90"/>
      <c r="I90" s="97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</row>
    <row r="91" spans="2:83" s="70" customFormat="1">
      <c r="B91"/>
      <c r="C91"/>
      <c r="D91"/>
      <c r="E91"/>
      <c r="F91"/>
      <c r="G91"/>
      <c r="H91"/>
      <c r="I91" s="97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</row>
    <row r="92" spans="2:83" s="70" customFormat="1">
      <c r="B92"/>
      <c r="C92"/>
      <c r="D92"/>
      <c r="E92"/>
      <c r="F92"/>
      <c r="G92"/>
      <c r="H92"/>
      <c r="I92" s="97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</row>
    <row r="93" spans="2:83" s="70" customFormat="1">
      <c r="B93"/>
      <c r="C93"/>
      <c r="D93"/>
      <c r="E93"/>
      <c r="F93"/>
      <c r="G93"/>
      <c r="H93"/>
      <c r="I93" s="97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</row>
    <row r="94" spans="2:83" s="70" customFormat="1">
      <c r="B94"/>
      <c r="C94"/>
      <c r="D94"/>
      <c r="E94"/>
      <c r="F94"/>
      <c r="G94"/>
      <c r="H94"/>
      <c r="I94" s="97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</row>
    <row r="95" spans="2:83" s="70" customFormat="1">
      <c r="B95"/>
      <c r="C95"/>
      <c r="D95"/>
      <c r="E95"/>
      <c r="F95"/>
      <c r="G95"/>
      <c r="H95"/>
      <c r="I95" s="97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</row>
    <row r="96" spans="2:83" s="70" customFormat="1">
      <c r="B96"/>
      <c r="C96"/>
      <c r="D96"/>
      <c r="E96"/>
      <c r="F96"/>
      <c r="G96"/>
      <c r="H96"/>
      <c r="I96" s="97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</row>
    <row r="97" spans="2:83" s="70" customFormat="1">
      <c r="B97"/>
      <c r="C97"/>
      <c r="D97"/>
      <c r="E97"/>
      <c r="F97"/>
      <c r="G97"/>
      <c r="H97"/>
      <c r="I97" s="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</row>
    <row r="98" spans="2:83" s="70" customFormat="1">
      <c r="B98"/>
      <c r="C98"/>
      <c r="D98"/>
      <c r="E98"/>
      <c r="F98"/>
      <c r="G98"/>
      <c r="H98"/>
      <c r="I98" s="97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</row>
    <row r="99" spans="2:83" s="70" customFormat="1">
      <c r="B99"/>
      <c r="C99"/>
      <c r="D99"/>
      <c r="E99"/>
      <c r="F99"/>
      <c r="G99"/>
      <c r="H99"/>
      <c r="I99" s="97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</row>
    <row r="100" spans="2:83" s="70" customFormat="1">
      <c r="B100"/>
      <c r="C100"/>
      <c r="D100"/>
      <c r="E100"/>
      <c r="F100"/>
      <c r="G100"/>
      <c r="H100"/>
      <c r="I100" s="97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</row>
    <row r="101" spans="2:83" s="70" customFormat="1">
      <c r="B101"/>
      <c r="C101"/>
      <c r="D101"/>
      <c r="E101"/>
      <c r="F101"/>
      <c r="G101"/>
      <c r="H101"/>
      <c r="I101" s="97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</row>
    <row r="102" spans="2:83" s="70" customFormat="1">
      <c r="B102"/>
      <c r="C102"/>
      <c r="D102"/>
      <c r="E102"/>
      <c r="F102"/>
      <c r="G102"/>
      <c r="H102"/>
      <c r="I102" s="97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</row>
    <row r="103" spans="2:83" s="70" customFormat="1">
      <c r="B103"/>
      <c r="C103"/>
      <c r="D103"/>
      <c r="E103"/>
      <c r="F103"/>
      <c r="G103"/>
      <c r="H103"/>
      <c r="I103" s="97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</row>
    <row r="104" spans="2:83" s="70" customFormat="1">
      <c r="B104"/>
      <c r="C104"/>
      <c r="D104"/>
      <c r="E104"/>
      <c r="F104"/>
      <c r="G104"/>
      <c r="H104"/>
      <c r="I104" s="97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</row>
    <row r="105" spans="2:83" s="70" customFormat="1">
      <c r="B105"/>
      <c r="C105"/>
      <c r="D105"/>
      <c r="E105"/>
      <c r="F105"/>
      <c r="G105"/>
      <c r="H105"/>
      <c r="I105" s="97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</row>
    <row r="106" spans="2:83" s="70" customFormat="1">
      <c r="B106"/>
      <c r="C106"/>
      <c r="D106"/>
      <c r="E106"/>
      <c r="F106"/>
      <c r="G106"/>
      <c r="H106"/>
      <c r="I106" s="97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</row>
    <row r="107" spans="2:83" s="70" customFormat="1">
      <c r="B107"/>
      <c r="C107"/>
      <c r="D107"/>
      <c r="E107"/>
      <c r="F107"/>
      <c r="G107"/>
      <c r="H107"/>
      <c r="I107" s="9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</row>
    <row r="108" spans="2:83" s="70" customFormat="1">
      <c r="B108"/>
      <c r="C108"/>
      <c r="D108"/>
      <c r="E108"/>
      <c r="F108"/>
      <c r="G108"/>
      <c r="H108"/>
      <c r="I108" s="97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</row>
    <row r="109" spans="2:83" s="70" customFormat="1">
      <c r="B109"/>
      <c r="C109"/>
      <c r="D109"/>
      <c r="E109"/>
      <c r="F109"/>
      <c r="G109"/>
      <c r="H109"/>
      <c r="I109" s="97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</row>
    <row r="110" spans="2:83" s="70" customFormat="1">
      <c r="B110"/>
      <c r="C110"/>
      <c r="D110"/>
      <c r="E110"/>
      <c r="F110"/>
      <c r="G110"/>
      <c r="H110"/>
      <c r="I110" s="97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</row>
    <row r="111" spans="2:83" s="70" customFormat="1">
      <c r="B111"/>
      <c r="C111"/>
      <c r="D111"/>
      <c r="E111"/>
      <c r="F111"/>
      <c r="G111"/>
      <c r="H111"/>
      <c r="I111" s="97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</row>
    <row r="112" spans="2:83" s="70" customFormat="1">
      <c r="B112"/>
      <c r="C112"/>
      <c r="D112"/>
      <c r="E112"/>
      <c r="F112"/>
      <c r="G112"/>
      <c r="H112"/>
      <c r="I112" s="97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</row>
    <row r="113" spans="2:83" s="70" customFormat="1">
      <c r="B113"/>
      <c r="C113"/>
      <c r="D113"/>
      <c r="E113"/>
      <c r="F113"/>
      <c r="G113"/>
      <c r="H113"/>
      <c r="I113" s="97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</row>
    <row r="114" spans="2:83" s="70" customFormat="1">
      <c r="B114"/>
      <c r="C114"/>
      <c r="D114"/>
      <c r="E114"/>
      <c r="F114"/>
      <c r="G114"/>
      <c r="H114"/>
      <c r="I114" s="97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</row>
    <row r="115" spans="2:83" s="70" customFormat="1">
      <c r="B115"/>
      <c r="C115"/>
      <c r="D115"/>
      <c r="E115"/>
      <c r="F115"/>
      <c r="G115"/>
      <c r="H115"/>
      <c r="I115" s="97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</row>
    <row r="116" spans="2:83" s="70" customFormat="1">
      <c r="B116"/>
      <c r="C116"/>
      <c r="D116"/>
      <c r="E116"/>
      <c r="F116"/>
      <c r="G116"/>
      <c r="H116"/>
      <c r="I116" s="97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</row>
    <row r="117" spans="2:83" s="70" customFormat="1">
      <c r="B117"/>
      <c r="C117"/>
      <c r="D117"/>
      <c r="E117"/>
      <c r="F117"/>
      <c r="G117"/>
      <c r="H117"/>
      <c r="I117" s="9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</row>
    <row r="118" spans="2:83" ht="13.2" customHeight="1"/>
    <row r="119" spans="2:83" ht="13.2" customHeight="1"/>
    <row r="120" spans="2:83" ht="13.2" customHeight="1"/>
    <row r="121" spans="2:83" ht="13.2" customHeight="1"/>
    <row r="122" spans="2:83" ht="13.2" customHeight="1"/>
    <row r="123" spans="2:83" ht="13.2" customHeight="1"/>
    <row r="124" spans="2:83" ht="13.2" customHeight="1"/>
    <row r="125" spans="2:83" ht="13.2" customHeight="1"/>
    <row r="126" spans="2:83" ht="13.2" customHeight="1"/>
    <row r="127" spans="2:83" ht="13.2" customHeight="1"/>
    <row r="128" spans="2:83" ht="13.2" customHeight="1"/>
    <row r="129" ht="13.2" customHeight="1"/>
    <row r="130" ht="13.2" customHeight="1"/>
    <row r="131" ht="13.2" customHeight="1"/>
    <row r="132" ht="13.2" customHeight="1"/>
    <row r="133" ht="13.2" customHeight="1"/>
    <row r="134" ht="13.2" customHeight="1"/>
    <row r="135" ht="13.2" customHeight="1"/>
    <row r="136" ht="13.2" customHeight="1"/>
    <row r="137" ht="13.2" customHeight="1"/>
    <row r="138" ht="13.2" customHeight="1"/>
    <row r="139" ht="13.2" customHeight="1"/>
    <row r="140" ht="13.2" customHeight="1"/>
    <row r="141" ht="13.2" customHeight="1"/>
    <row r="142" ht="13.2" customHeight="1"/>
    <row r="143" ht="13.2" customHeight="1"/>
    <row r="144" ht="13.2" customHeight="1"/>
    <row r="145" ht="13.2" customHeight="1"/>
    <row r="146" ht="13.2" customHeight="1"/>
    <row r="147" ht="13.2" customHeight="1"/>
    <row r="148" ht="13.2" customHeight="1"/>
    <row r="149" ht="13.2" customHeight="1"/>
    <row r="150" ht="13.2" customHeight="1"/>
    <row r="151" ht="13.2" customHeight="1"/>
    <row r="152" ht="13.2" customHeight="1"/>
    <row r="153" ht="13.2" customHeight="1"/>
    <row r="154" ht="13.2" customHeight="1"/>
  </sheetData>
  <mergeCells count="17">
    <mergeCell ref="BC2:BF2"/>
    <mergeCell ref="B2:C2"/>
    <mergeCell ref="D2:F2"/>
    <mergeCell ref="J2:M2"/>
    <mergeCell ref="O2:R2"/>
    <mergeCell ref="T2:W2"/>
    <mergeCell ref="Y2:AB2"/>
    <mergeCell ref="AD2:AG2"/>
    <mergeCell ref="AI2:AL2"/>
    <mergeCell ref="AN2:AQ2"/>
    <mergeCell ref="AS2:AV2"/>
    <mergeCell ref="AX2:BA2"/>
    <mergeCell ref="BH2:BK2"/>
    <mergeCell ref="BM2:BP2"/>
    <mergeCell ref="BR2:BU2"/>
    <mergeCell ref="BW2:BZ2"/>
    <mergeCell ref="CB2:CE2"/>
  </mergeCells>
  <conditionalFormatting sqref="K43:K57">
    <cfRule type="cellIs" dxfId="12" priority="1" stopIfTrue="1" operator="equal">
      <formula>0</formula>
    </cfRule>
  </conditionalFormatting>
  <conditionalFormatting sqref="M41:CE41 BU3:BU39 BZ3:BZ39 CE3:CE39 M3:M39 R3:R39 W3:W39 AB3:AB39 AG3:AG39 AL3:AL39 AQ3:AQ39 AV3:AV39 BA3:BA39 BF3:BF39 BK3:BK39 BP3:BP39">
    <cfRule type="cellIs" dxfId="11" priority="2" stopIfTrue="1" operator="equal">
      <formula>3</formula>
    </cfRule>
  </conditionalFormatting>
  <conditionalFormatting sqref="J58:J60">
    <cfRule type="cellIs" dxfId="10" priority="3" stopIfTrue="1" operator="equal">
      <formula>0</formula>
    </cfRule>
  </conditionalFormatting>
  <conditionalFormatting sqref="I43:I57">
    <cfRule type="cellIs" dxfId="9" priority="4" stopIfTrue="1" operator="equal">
      <formula>0</formula>
    </cfRule>
  </conditionalFormatting>
  <conditionalFormatting sqref="J43:J57">
    <cfRule type="cellIs" dxfId="8" priority="5" stopIfTrue="1" operator="equal">
      <formula>0</formula>
    </cfRule>
  </conditionalFormatting>
  <conditionalFormatting sqref="J29:J31">
    <cfRule type="cellIs" dxfId="7" priority="6" stopIfTrue="1" operator="equal">
      <formula>0</formula>
    </cfRule>
  </conditionalFormatting>
  <pageMargins left="0.75" right="0.75" top="1" bottom="1" header="0.5" footer="0.5"/>
  <pageSetup paperSize="9" scale="49" orientation="landscape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usz1">
    <tabColor indexed="22"/>
    <pageSetUpPr fitToPage="1"/>
  </sheetPr>
  <dimension ref="A1:CE154"/>
  <sheetViews>
    <sheetView showGridLines="0" zoomScaleNormal="100" workbookViewId="0">
      <pane xSplit="9" ySplit="2" topLeftCell="J3" activePane="bottomRight" state="frozen"/>
      <selection pane="topRight" activeCell="J1" sqref="J1"/>
      <selection pane="bottomLeft" activeCell="A3" sqref="A3"/>
      <selection pane="bottomRight" activeCell="U88" sqref="U88"/>
    </sheetView>
  </sheetViews>
  <sheetFormatPr defaultColWidth="8.88671875" defaultRowHeight="13.2" zeroHeight="1" outlineLevelRow="2"/>
  <cols>
    <col min="1" max="1" width="16.6640625" style="70" customWidth="1"/>
    <col min="2" max="2" width="15.77734375" customWidth="1"/>
    <col min="3" max="3" width="20.77734375" customWidth="1"/>
    <col min="4" max="4" width="7.77734375" customWidth="1"/>
    <col min="5" max="5" width="1.88671875" customWidth="1"/>
    <col min="6" max="6" width="7.33203125" customWidth="1"/>
    <col min="7" max="7" width="3.5546875" hidden="1" customWidth="1"/>
    <col min="8" max="8" width="7.77734375" customWidth="1"/>
    <col min="9" max="9" width="3.88671875" style="97" hidden="1" customWidth="1"/>
    <col min="10" max="10" width="3.88671875" customWidth="1"/>
    <col min="11" max="11" width="1.88671875" customWidth="1"/>
    <col min="12" max="12" width="4.109375" customWidth="1"/>
    <col min="13" max="13" width="5" customWidth="1"/>
    <col min="14" max="14" width="2.88671875" hidden="1" customWidth="1"/>
    <col min="15" max="15" width="3.88671875" customWidth="1"/>
    <col min="16" max="16" width="1.88671875" customWidth="1"/>
    <col min="17" max="17" width="4.109375" customWidth="1"/>
    <col min="18" max="18" width="4.6640625" customWidth="1"/>
    <col min="19" max="19" width="3.5546875" hidden="1" customWidth="1"/>
    <col min="20" max="20" width="3.6640625" customWidth="1"/>
    <col min="21" max="21" width="1.88671875" customWidth="1"/>
    <col min="22" max="22" width="3.6640625" customWidth="1"/>
    <col min="23" max="23" width="4.6640625" customWidth="1"/>
    <col min="24" max="24" width="2.6640625" hidden="1" customWidth="1"/>
    <col min="25" max="25" width="3.88671875" customWidth="1"/>
    <col min="26" max="26" width="1.88671875" customWidth="1"/>
    <col min="27" max="27" width="4.6640625" customWidth="1"/>
    <col min="28" max="28" width="3.6640625" customWidth="1"/>
    <col min="29" max="29" width="2.6640625" hidden="1" customWidth="1"/>
    <col min="30" max="30" width="3.44140625" customWidth="1"/>
    <col min="31" max="31" width="1.88671875" customWidth="1"/>
    <col min="32" max="32" width="3.33203125" customWidth="1"/>
    <col min="33" max="33" width="3.88671875" customWidth="1"/>
    <col min="34" max="34" width="2.109375" hidden="1" customWidth="1"/>
    <col min="35" max="35" width="4.33203125" customWidth="1"/>
    <col min="36" max="36" width="1.88671875" customWidth="1"/>
    <col min="37" max="37" width="3.5546875" customWidth="1"/>
    <col min="38" max="38" width="5.109375" customWidth="1"/>
    <col min="39" max="39" width="2.88671875" hidden="1" customWidth="1"/>
    <col min="40" max="40" width="3.5546875" customWidth="1"/>
    <col min="41" max="41" width="1.88671875" customWidth="1"/>
    <col min="42" max="42" width="3.5546875" customWidth="1"/>
    <col min="43" max="43" width="3.6640625" customWidth="1"/>
    <col min="44" max="44" width="2.88671875" hidden="1" customWidth="1"/>
    <col min="45" max="45" width="3.33203125" customWidth="1"/>
    <col min="46" max="46" width="1.88671875" customWidth="1"/>
    <col min="47" max="47" width="3.44140625" customWidth="1"/>
    <col min="48" max="48" width="3.88671875" customWidth="1"/>
    <col min="49" max="49" width="3.5546875" hidden="1" customWidth="1"/>
    <col min="50" max="50" width="3.33203125" customWidth="1"/>
    <col min="51" max="51" width="1.88671875" customWidth="1"/>
    <col min="52" max="52" width="3.44140625" customWidth="1"/>
    <col min="53" max="53" width="3.88671875" customWidth="1"/>
    <col min="54" max="54" width="3" hidden="1" customWidth="1"/>
    <col min="55" max="55" width="3.33203125" customWidth="1"/>
    <col min="56" max="56" width="1.88671875" customWidth="1"/>
    <col min="57" max="57" width="3.88671875" customWidth="1"/>
    <col min="58" max="58" width="4.5546875" customWidth="1"/>
    <col min="59" max="59" width="3" hidden="1" customWidth="1"/>
    <col min="60" max="60" width="3.33203125" customWidth="1"/>
    <col min="61" max="61" width="1.88671875" customWidth="1"/>
    <col min="62" max="62" width="3.88671875" customWidth="1"/>
    <col min="63" max="63" width="4.33203125" customWidth="1"/>
    <col min="64" max="64" width="3" hidden="1" customWidth="1"/>
    <col min="65" max="65" width="3.33203125" customWidth="1"/>
    <col min="66" max="66" width="2" customWidth="1"/>
    <col min="67" max="67" width="3.88671875" customWidth="1"/>
    <col min="68" max="68" width="4.5546875" customWidth="1"/>
    <col min="69" max="69" width="3" hidden="1" customWidth="1"/>
    <col min="70" max="70" width="3.33203125" hidden="1" customWidth="1"/>
    <col min="71" max="71" width="2" hidden="1" customWidth="1"/>
    <col min="72" max="72" width="3.88671875" hidden="1" customWidth="1"/>
    <col min="73" max="73" width="4.5546875" hidden="1" customWidth="1"/>
    <col min="74" max="74" width="3" hidden="1" customWidth="1"/>
    <col min="75" max="75" width="3.33203125" hidden="1" customWidth="1"/>
    <col min="76" max="76" width="2" hidden="1" customWidth="1"/>
    <col min="77" max="77" width="3.88671875" hidden="1" customWidth="1"/>
    <col min="78" max="78" width="4.5546875" hidden="1" customWidth="1"/>
    <col min="79" max="79" width="3" hidden="1" customWidth="1"/>
    <col min="80" max="80" width="3.33203125" hidden="1" customWidth="1"/>
    <col min="81" max="81" width="2" hidden="1" customWidth="1"/>
    <col min="82" max="82" width="3.88671875" hidden="1" customWidth="1"/>
    <col min="83" max="83" width="4.5546875" hidden="1" customWidth="1"/>
    <col min="84" max="84" width="2.5546875" customWidth="1"/>
    <col min="85" max="85" width="3.88671875" customWidth="1"/>
    <col min="86" max="86" width="4.5546875" customWidth="1"/>
    <col min="87" max="87" width="3" customWidth="1"/>
    <col min="88" max="88" width="3.33203125" customWidth="1"/>
    <col min="89" max="89" width="2" customWidth="1"/>
    <col min="90" max="90" width="3.88671875" customWidth="1"/>
    <col min="91" max="91" width="4.5546875" customWidth="1"/>
    <col min="92" max="92" width="8.88671875" customWidth="1"/>
  </cols>
  <sheetData>
    <row r="1" spans="1:83" ht="31.2" customHeight="1" thickBot="1"/>
    <row r="2" spans="1:83" ht="26.25" customHeight="1" thickBot="1">
      <c r="A2" s="72" t="s">
        <v>9</v>
      </c>
      <c r="B2" s="122" t="s">
        <v>22</v>
      </c>
      <c r="C2" s="123"/>
      <c r="D2" s="124" t="s">
        <v>2</v>
      </c>
      <c r="E2" s="125"/>
      <c r="F2" s="126"/>
      <c r="H2" s="45"/>
      <c r="J2" s="119" t="s">
        <v>1</v>
      </c>
      <c r="K2" s="120"/>
      <c r="L2" s="120"/>
      <c r="M2" s="121"/>
      <c r="N2" s="97"/>
      <c r="O2" s="119" t="s">
        <v>4</v>
      </c>
      <c r="P2" s="120"/>
      <c r="Q2" s="120"/>
      <c r="R2" s="121"/>
      <c r="S2" s="97"/>
      <c r="T2" s="119" t="s">
        <v>7</v>
      </c>
      <c r="U2" s="120"/>
      <c r="V2" s="120"/>
      <c r="W2" s="121"/>
      <c r="X2" s="97"/>
      <c r="Y2" s="119" t="s">
        <v>133</v>
      </c>
      <c r="Z2" s="120"/>
      <c r="AA2" s="120"/>
      <c r="AB2" s="121"/>
      <c r="AC2" s="97"/>
      <c r="AD2" s="119" t="s">
        <v>128</v>
      </c>
      <c r="AE2" s="120"/>
      <c r="AF2" s="120"/>
      <c r="AG2" s="121"/>
      <c r="AH2" s="97"/>
      <c r="AI2" s="119" t="s">
        <v>5</v>
      </c>
      <c r="AJ2" s="120"/>
      <c r="AK2" s="120"/>
      <c r="AL2" s="121"/>
      <c r="AM2" s="97"/>
      <c r="AN2" s="119" t="s">
        <v>135</v>
      </c>
      <c r="AO2" s="120"/>
      <c r="AP2" s="120"/>
      <c r="AQ2" s="121"/>
      <c r="AR2" s="97"/>
      <c r="AS2" s="119" t="s">
        <v>140</v>
      </c>
      <c r="AT2" s="120"/>
      <c r="AU2" s="120"/>
      <c r="AV2" s="121"/>
      <c r="AW2" s="97"/>
      <c r="AX2" s="119" t="s">
        <v>143</v>
      </c>
      <c r="AY2" s="120"/>
      <c r="AZ2" s="120"/>
      <c r="BA2" s="121"/>
      <c r="BB2" s="97"/>
      <c r="BC2" s="119" t="s">
        <v>144</v>
      </c>
      <c r="BD2" s="120"/>
      <c r="BE2" s="120"/>
      <c r="BF2" s="121"/>
      <c r="BG2" s="97"/>
      <c r="BH2" s="119" t="s">
        <v>145</v>
      </c>
      <c r="BI2" s="120"/>
      <c r="BJ2" s="120"/>
      <c r="BK2" s="121"/>
      <c r="BL2" s="97"/>
      <c r="BM2" s="119" t="s">
        <v>146</v>
      </c>
      <c r="BN2" s="120"/>
      <c r="BO2" s="120"/>
      <c r="BP2" s="121"/>
      <c r="BQ2" s="97"/>
      <c r="BR2" s="119" t="s">
        <v>129</v>
      </c>
      <c r="BS2" s="120"/>
      <c r="BT2" s="120"/>
      <c r="BU2" s="121"/>
      <c r="BV2" s="97"/>
      <c r="BW2" s="119" t="s">
        <v>130</v>
      </c>
      <c r="BX2" s="120"/>
      <c r="BY2" s="120"/>
      <c r="BZ2" s="121"/>
      <c r="CA2" s="97"/>
      <c r="CB2" s="119" t="s">
        <v>131</v>
      </c>
      <c r="CC2" s="120"/>
      <c r="CD2" s="120"/>
      <c r="CE2" s="121"/>
    </row>
    <row r="3" spans="1:83" ht="13.5" hidden="1" customHeight="1" outlineLevel="1">
      <c r="A3" s="71">
        <v>46184.875</v>
      </c>
      <c r="B3" s="32" t="s">
        <v>93</v>
      </c>
      <c r="C3" s="33" t="s">
        <v>136</v>
      </c>
      <c r="D3" s="112">
        <v>2</v>
      </c>
      <c r="E3" s="44" t="s">
        <v>0</v>
      </c>
      <c r="F3" s="43">
        <v>0</v>
      </c>
      <c r="G3">
        <f t="shared" ref="G3:G20" si="0">IF(F3=D3,3,IF(F3&lt;D3,2,IF(F3&gt;D3,1)))</f>
        <v>2</v>
      </c>
      <c r="H3" s="45"/>
      <c r="I3" s="97">
        <f t="shared" ref="I3:I20" si="1">IF(L3=J3,3,IF(L3&gt;J3,1,IF(L3&lt;J3,2)))</f>
        <v>2</v>
      </c>
      <c r="J3" s="56">
        <v>2</v>
      </c>
      <c r="K3" s="56" t="s">
        <v>0</v>
      </c>
      <c r="L3" s="57">
        <v>0</v>
      </c>
      <c r="M3" s="2">
        <f>IF(OR(D3="",J3=""),0,IF((J3=D3)*(L3=F3),3,IF(I3=G3,1,0)))</f>
        <v>3</v>
      </c>
      <c r="N3" s="97">
        <f t="shared" ref="N3:N76" si="2">IF(Q3=O3,3,IF(Q3&gt;O3,1,IF(Q3&lt;O3,2)))</f>
        <v>3</v>
      </c>
      <c r="O3" s="56">
        <v>1</v>
      </c>
      <c r="P3" s="56" t="s">
        <v>0</v>
      </c>
      <c r="Q3" s="57">
        <v>1</v>
      </c>
      <c r="R3" s="2">
        <f>IF(OR(D3="",O3=""),0,IF((O3=D3)*(Q3=F3),3,IF(N3=G3,1,0)))</f>
        <v>0</v>
      </c>
      <c r="S3" s="97">
        <f t="shared" ref="S3:S76" si="3">IF(V3=T3,3,IF(V3&gt;T3,1,IF(V3&lt;T3,2)))</f>
        <v>2</v>
      </c>
      <c r="T3" s="56">
        <v>3</v>
      </c>
      <c r="U3" s="56" t="s">
        <v>0</v>
      </c>
      <c r="V3" s="57">
        <v>0</v>
      </c>
      <c r="W3" s="2">
        <f>IF(OR(D3="",T3=""),0,IF((T3=D3)*(V3=F3),3,IF(S3=G3,1,0)))</f>
        <v>1</v>
      </c>
      <c r="X3" s="97">
        <f t="shared" ref="X3:X76" si="4">IF(AA3=Y3,3,IF(AA3&gt;Y3,1,IF(AA3&lt;Y3,2)))</f>
        <v>1</v>
      </c>
      <c r="Y3" s="74">
        <v>1</v>
      </c>
      <c r="Z3" s="56" t="s">
        <v>0</v>
      </c>
      <c r="AA3" s="76">
        <v>2</v>
      </c>
      <c r="AB3" s="2">
        <f>IF(OR(D3="",Y3=""),0,IF((Y3=D3)*(AA3=F3),3,IF(X3=G3,1,0)))</f>
        <v>0</v>
      </c>
      <c r="AC3" s="97">
        <f t="shared" ref="AC3:AC76" si="5">IF(AF3=AD3,3,IF(AF3&gt;AD3,1,IF(AF3&lt;AD3,2)))</f>
        <v>2</v>
      </c>
      <c r="AD3" s="56">
        <v>2</v>
      </c>
      <c r="AE3" s="56" t="s">
        <v>0</v>
      </c>
      <c r="AF3" s="57">
        <v>0</v>
      </c>
      <c r="AG3" s="2">
        <f>IF(OR(D3="",AD3=""),0,IF((AD3=D3)*(AF3=F3),3,IF(AC3=G3,1,0)))</f>
        <v>3</v>
      </c>
      <c r="AH3" s="97">
        <f t="shared" ref="AH3:AH76" si="6">IF(AK3=AI3,3,IF(AK3&gt;AI3,1,IF(AK3&lt;AI3,2)))</f>
        <v>2</v>
      </c>
      <c r="AI3" s="56">
        <v>2</v>
      </c>
      <c r="AJ3" s="56" t="s">
        <v>0</v>
      </c>
      <c r="AK3" s="57">
        <v>0</v>
      </c>
      <c r="AL3" s="2">
        <f>IF(OR(D3="",AI3=""),0,IF((AI3=D3)*(AK3=F3),3,IF(AH3=G3,1,0)))</f>
        <v>3</v>
      </c>
      <c r="AM3" s="97">
        <f t="shared" ref="AM3:AM76" si="7">IF(AP3=AN3,3,IF(AP3&gt;AN3,1,IF(AP3&lt;AN3,2)))</f>
        <v>3</v>
      </c>
      <c r="AN3" s="56">
        <v>1</v>
      </c>
      <c r="AO3" s="56" t="s">
        <v>0</v>
      </c>
      <c r="AP3" s="57">
        <v>1</v>
      </c>
      <c r="AQ3" s="2">
        <f>IF(OR(D3="",AN3=""),0,IF((AN3=D3)*(AP3=F3),3,IF(AM3=G3,1,0)))</f>
        <v>0</v>
      </c>
      <c r="AR3" s="97">
        <f t="shared" ref="AR3:AR76" si="8">IF(AU3=AS3,3,IF(AU3&gt;AS3,1,IF(AU3&lt;AS3,2)))</f>
        <v>2</v>
      </c>
      <c r="AS3" s="56">
        <v>2</v>
      </c>
      <c r="AT3" s="56" t="s">
        <v>0</v>
      </c>
      <c r="AU3" s="57">
        <v>1</v>
      </c>
      <c r="AV3" s="2">
        <f>IF(OR(D3="",AS3=""),0,IF((AS3=D3)*(AU3=F3),3,IF(AR3=G3,1,0)))</f>
        <v>1</v>
      </c>
      <c r="AW3" s="97">
        <f t="shared" ref="AW3:AW76" si="9">IF(AZ3=AX3,3,IF(AZ3&gt;AX3,1,IF(AZ3&lt;AX3,2)))</f>
        <v>3</v>
      </c>
      <c r="AX3" s="56">
        <v>1</v>
      </c>
      <c r="AY3" s="56" t="s">
        <v>0</v>
      </c>
      <c r="AZ3" s="57">
        <v>1</v>
      </c>
      <c r="BA3" s="2">
        <f t="shared" ref="BA3:BA26" si="10">IF(OR(D3="",AX3=""),0,IF((AX3=D3)*(AZ3=F3),3,IF(AW3=G3,1,0)))</f>
        <v>0</v>
      </c>
      <c r="BB3" s="97">
        <f t="shared" ref="BB3:BB76" si="11">IF(BE3=BC3,3,IF(BE3&gt;BC3,1,IF(BE3&lt;BC3,2)))</f>
        <v>2</v>
      </c>
      <c r="BC3" s="56">
        <v>2</v>
      </c>
      <c r="BD3" s="56" t="s">
        <v>0</v>
      </c>
      <c r="BE3" s="57">
        <v>0</v>
      </c>
      <c r="BF3" s="2">
        <f t="shared" ref="BF3:BF26" si="12">IF(OR(D3="",BC3=""),0,IF((BC3=D3)*(BE3=F3),3,IF(BB3=G3,1,0)))</f>
        <v>3</v>
      </c>
      <c r="BG3" s="97">
        <f t="shared" ref="BG3:BG76" si="13">IF(BJ3=BH3,3,IF(BJ3&gt;BH3,1,IF(BJ3&lt;BH3,2)))</f>
        <v>1</v>
      </c>
      <c r="BH3" s="56">
        <v>1</v>
      </c>
      <c r="BI3" s="56" t="s">
        <v>0</v>
      </c>
      <c r="BJ3" s="57">
        <v>2</v>
      </c>
      <c r="BK3" s="2">
        <f>IF(OR(D3="",BH3=""),0,IF((BH3=D3)*(BJ3=F3),3,IF(BG3=G3,1,0)))</f>
        <v>0</v>
      </c>
      <c r="BL3" s="97">
        <f t="shared" ref="BL3:BL76" si="14">IF(BO3=BM3,3,IF(BO3&gt;BM3,1,IF(BO3&lt;BM3,2)))</f>
        <v>2</v>
      </c>
      <c r="BM3" s="56">
        <v>1</v>
      </c>
      <c r="BN3" s="56" t="s">
        <v>0</v>
      </c>
      <c r="BO3" s="57">
        <v>0</v>
      </c>
      <c r="BP3" s="2">
        <f>IF(OR(D3="",BM3=""),0,IF((BM3=D3)*(BO3=F3),3,IF(BL3=G3,1,0)))</f>
        <v>1</v>
      </c>
      <c r="BQ3" s="97">
        <f t="shared" ref="BQ3:BQ76" si="15">IF(BT3=BR3,3,IF(BT3&gt;BR3,1,IF(BT3&lt;BR3,2)))</f>
        <v>3</v>
      </c>
      <c r="BR3" s="56"/>
      <c r="BS3" s="56" t="s">
        <v>0</v>
      </c>
      <c r="BT3" s="57"/>
      <c r="BU3" s="2">
        <f>IF(OR(D3="",BR3=""),0,IF((BR3=D3)*(BT3=F3),3,IF(BQ3=G3,1,0)))</f>
        <v>0</v>
      </c>
      <c r="BV3" s="97">
        <f t="shared" ref="BV3:BV76" si="16">IF(BY3=BW3,3,IF(BY3&gt;BW3,1,IF(BY3&lt;BW3,2)))</f>
        <v>3</v>
      </c>
      <c r="BW3" s="56"/>
      <c r="BX3" s="56" t="s">
        <v>0</v>
      </c>
      <c r="BY3" s="57"/>
      <c r="BZ3" s="2">
        <f>IF(OR(D3="",BW3=""),0,IF((BW3=D3)*(BY3=F3),3,IF(BV3=G3,1,0)))</f>
        <v>0</v>
      </c>
      <c r="CA3" s="97">
        <f t="shared" ref="CA3:CA76" si="17">IF(CD3=CB3,3,IF(CD3&gt;CB3,1,IF(CD3&lt;CB3,2)))</f>
        <v>3</v>
      </c>
      <c r="CB3" s="19"/>
      <c r="CC3" s="1" t="s">
        <v>0</v>
      </c>
      <c r="CD3" s="20"/>
      <c r="CE3" s="2">
        <f>IF(OR(D3="",CB3=""),0,IF((CB3=D3)*(CD3=F3),3,IF(CA3=G3,1,0)))</f>
        <v>0</v>
      </c>
    </row>
    <row r="4" spans="1:83" ht="13.5" hidden="1" customHeight="1" outlineLevel="1">
      <c r="A4" s="71">
        <v>46185.166666666664</v>
      </c>
      <c r="B4" s="32" t="s">
        <v>95</v>
      </c>
      <c r="C4" s="33" t="s">
        <v>96</v>
      </c>
      <c r="D4" s="43">
        <v>2</v>
      </c>
      <c r="E4" s="44" t="s">
        <v>0</v>
      </c>
      <c r="F4" s="43">
        <v>1</v>
      </c>
      <c r="G4">
        <f t="shared" si="0"/>
        <v>2</v>
      </c>
      <c r="H4" s="45"/>
      <c r="I4" s="97">
        <f t="shared" si="1"/>
        <v>1</v>
      </c>
      <c r="J4" s="56">
        <v>1</v>
      </c>
      <c r="K4" s="56" t="s">
        <v>0</v>
      </c>
      <c r="L4" s="57">
        <v>2</v>
      </c>
      <c r="M4" s="2">
        <f t="shared" ref="M4:M15" si="18">IF(OR(D4="",J4=""),0,IF((J4=D4)*(L4=F4),3,IF(I4=G4,1,0)))</f>
        <v>0</v>
      </c>
      <c r="N4" s="97">
        <f t="shared" si="2"/>
        <v>1</v>
      </c>
      <c r="O4" s="56">
        <v>0</v>
      </c>
      <c r="P4" s="56" t="s">
        <v>0</v>
      </c>
      <c r="Q4" s="57">
        <v>1</v>
      </c>
      <c r="R4" s="2">
        <f t="shared" ref="R4:R15" si="19">IF(OR(D4="",O4=""),0,IF((O4=D4)*(Q4=F4),3,IF(N4=G4,1,0)))</f>
        <v>0</v>
      </c>
      <c r="S4" s="97">
        <f t="shared" si="3"/>
        <v>2</v>
      </c>
      <c r="T4" s="56">
        <v>2</v>
      </c>
      <c r="U4" s="56" t="s">
        <v>0</v>
      </c>
      <c r="V4" s="57">
        <v>1</v>
      </c>
      <c r="W4" s="2">
        <f t="shared" ref="W4:W15" si="20">IF(OR(D4="",T4=""),0,IF((T4=D4)*(V4=F4),3,IF(S4=G4,1,0)))</f>
        <v>3</v>
      </c>
      <c r="X4" s="97">
        <f t="shared" si="4"/>
        <v>3</v>
      </c>
      <c r="Y4" s="74">
        <v>0</v>
      </c>
      <c r="Z4" s="56" t="s">
        <v>0</v>
      </c>
      <c r="AA4" s="76">
        <v>0</v>
      </c>
      <c r="AB4" s="2">
        <f t="shared" ref="AB4:AB15" si="21">IF(OR(D4="",Y4=""),0,IF((Y4=D4)*(AA4=F4),3,IF(X4=G4,1,0)))</f>
        <v>0</v>
      </c>
      <c r="AC4" s="97">
        <f t="shared" si="5"/>
        <v>3</v>
      </c>
      <c r="AD4" s="56">
        <v>1</v>
      </c>
      <c r="AE4" s="56" t="s">
        <v>0</v>
      </c>
      <c r="AF4" s="57">
        <v>1</v>
      </c>
      <c r="AG4" s="2">
        <f t="shared" ref="AG4:AG15" si="22">IF(OR(D4="",AD4=""),0,IF((AD4=D4)*(AF4=F4),3,IF(AC4=G4,1,0)))</f>
        <v>0</v>
      </c>
      <c r="AH4" s="97">
        <f t="shared" si="6"/>
        <v>2</v>
      </c>
      <c r="AI4" s="56">
        <v>2</v>
      </c>
      <c r="AJ4" s="56" t="s">
        <v>0</v>
      </c>
      <c r="AK4" s="57">
        <v>1</v>
      </c>
      <c r="AL4" s="2">
        <f t="shared" ref="AL4:AL15" si="23">IF(OR(D4="",AI4=""),0,IF((AI4=D4)*(AK4=F4),3,IF(AH4=G4,1,0)))</f>
        <v>3</v>
      </c>
      <c r="AM4" s="97">
        <f t="shared" si="7"/>
        <v>2</v>
      </c>
      <c r="AN4" s="56">
        <v>2</v>
      </c>
      <c r="AO4" s="56" t="s">
        <v>0</v>
      </c>
      <c r="AP4" s="57">
        <v>1</v>
      </c>
      <c r="AQ4" s="2">
        <f t="shared" ref="AQ4:AQ15" si="24">IF(OR(D4="",AN4=""),0,IF((AN4=D4)*(AP4=F4),3,IF(AM4=G4,1,0)))</f>
        <v>3</v>
      </c>
      <c r="AR4" s="97">
        <f t="shared" si="8"/>
        <v>3</v>
      </c>
      <c r="AS4" s="56">
        <v>0</v>
      </c>
      <c r="AT4" s="56" t="s">
        <v>0</v>
      </c>
      <c r="AU4" s="57">
        <v>0</v>
      </c>
      <c r="AV4" s="2">
        <f t="shared" ref="AV4:AV15" si="25">IF(OR(D4="",AS4=""),0,IF((AS4=D4)*(AU4=F4),3,IF(AR4=G4,1,0)))</f>
        <v>0</v>
      </c>
      <c r="AW4" s="97">
        <f t="shared" si="9"/>
        <v>1</v>
      </c>
      <c r="AX4" s="56">
        <v>0</v>
      </c>
      <c r="AY4" s="56" t="s">
        <v>0</v>
      </c>
      <c r="AZ4" s="57">
        <v>1</v>
      </c>
      <c r="BA4" s="2">
        <f t="shared" si="10"/>
        <v>0</v>
      </c>
      <c r="BB4" s="97">
        <f t="shared" ref="BB4:BB15" si="26">IF(BE4=BC4,3,IF(BE4&gt;BC4,1,IF(BE4&lt;BC4,2)))</f>
        <v>1</v>
      </c>
      <c r="BC4" s="56">
        <v>1</v>
      </c>
      <c r="BD4" s="56" t="s">
        <v>0</v>
      </c>
      <c r="BE4" s="57">
        <v>2</v>
      </c>
      <c r="BF4" s="2">
        <f t="shared" ref="BF4:BF15" si="27">IF(OR(D4="",BC4=""),0,IF((BC4=D4)*(BE4=F4),3,IF(BB4=G4,1,0)))</f>
        <v>0</v>
      </c>
      <c r="BG4" s="97">
        <f t="shared" ref="BG4:BG15" si="28">IF(BJ4=BH4,3,IF(BJ4&gt;BH4,1,IF(BJ4&lt;BH4,2)))</f>
        <v>3</v>
      </c>
      <c r="BH4" s="56">
        <v>1</v>
      </c>
      <c r="BI4" s="56" t="s">
        <v>0</v>
      </c>
      <c r="BJ4" s="57">
        <v>1</v>
      </c>
      <c r="BK4" s="2">
        <f t="shared" ref="BK4:BK15" si="29">IF(OR(D4="",BH4=""),0,IF((BH4=D4)*(BJ4=F4),3,IF(BG4=G4,1,0)))</f>
        <v>0</v>
      </c>
      <c r="BL4" s="97">
        <f t="shared" ref="BL4:BL15" si="30">IF(BO4=BM4,3,IF(BO4&gt;BM4,1,IF(BO4&lt;BM4,2)))</f>
        <v>1</v>
      </c>
      <c r="BM4" s="56">
        <v>0</v>
      </c>
      <c r="BN4" s="56" t="s">
        <v>0</v>
      </c>
      <c r="BO4" s="57">
        <v>1</v>
      </c>
      <c r="BP4" s="2">
        <f t="shared" ref="BP4:BP15" si="31">IF(OR(D4="",BM4=""),0,IF((BM4=D4)*(BO4=F4),3,IF(BL4=G4,1,0)))</f>
        <v>0</v>
      </c>
      <c r="BQ4" s="97">
        <f t="shared" ref="BQ4:BQ15" si="32">IF(BT4=BR4,3,IF(BT4&gt;BR4,1,IF(BT4&lt;BR4,2)))</f>
        <v>3</v>
      </c>
      <c r="BR4" s="56"/>
      <c r="BS4" s="56" t="s">
        <v>0</v>
      </c>
      <c r="BT4" s="57"/>
      <c r="BU4" s="2">
        <f t="shared" ref="BU4:BU15" si="33">IF(OR(D4="",BR4=""),0,IF((BR4=D4)*(BT4=F4),3,IF(BQ4=G4,1,0)))</f>
        <v>0</v>
      </c>
      <c r="BV4" s="97">
        <f t="shared" ref="BV4:BV15" si="34">IF(BY4=BW4,3,IF(BY4&gt;BW4,1,IF(BY4&lt;BW4,2)))</f>
        <v>3</v>
      </c>
      <c r="BW4" s="56"/>
      <c r="BX4" s="56" t="s">
        <v>0</v>
      </c>
      <c r="BY4" s="57"/>
      <c r="BZ4" s="2">
        <f t="shared" ref="BZ4:BZ15" si="35">IF(OR(D4="",BW4=""),0,IF((BW4=D4)*(BY4=F4),3,IF(BV4=G4,1,0)))</f>
        <v>0</v>
      </c>
      <c r="CA4" s="97">
        <f t="shared" ref="CA4:CA15" si="36">IF(CD4=CB4,3,IF(CD4&gt;CB4,1,IF(CD4&lt;CB4,2)))</f>
        <v>3</v>
      </c>
      <c r="CB4" s="19"/>
      <c r="CC4" s="1" t="s">
        <v>0</v>
      </c>
      <c r="CD4" s="20"/>
      <c r="CE4" s="2">
        <f t="shared" ref="CE4:CE15" si="37">IF(OR(D4="",CB4=""),0,IF((CB4=D4)*(CD4=F4),3,IF(CA4=G4,1,0)))</f>
        <v>0</v>
      </c>
    </row>
    <row r="5" spans="1:83" ht="13.5" hidden="1" customHeight="1" outlineLevel="1">
      <c r="A5" s="71">
        <v>46185.875</v>
      </c>
      <c r="B5" s="32" t="s">
        <v>97</v>
      </c>
      <c r="C5" s="33" t="s">
        <v>98</v>
      </c>
      <c r="D5" s="43">
        <v>1</v>
      </c>
      <c r="E5" s="44" t="s">
        <v>0</v>
      </c>
      <c r="F5" s="43">
        <v>1</v>
      </c>
      <c r="G5">
        <f t="shared" si="0"/>
        <v>3</v>
      </c>
      <c r="H5" s="45"/>
      <c r="I5" s="97">
        <f t="shared" si="1"/>
        <v>2</v>
      </c>
      <c r="J5" s="56">
        <v>2</v>
      </c>
      <c r="K5" s="56" t="s">
        <v>0</v>
      </c>
      <c r="L5" s="57">
        <v>1</v>
      </c>
      <c r="M5" s="2">
        <f t="shared" si="18"/>
        <v>0</v>
      </c>
      <c r="N5" s="97">
        <f t="shared" si="2"/>
        <v>1</v>
      </c>
      <c r="O5" s="56">
        <v>0</v>
      </c>
      <c r="P5" s="56" t="s">
        <v>0</v>
      </c>
      <c r="Q5" s="57">
        <v>2</v>
      </c>
      <c r="R5" s="2">
        <f t="shared" si="19"/>
        <v>0</v>
      </c>
      <c r="S5" s="97">
        <f t="shared" si="3"/>
        <v>2</v>
      </c>
      <c r="T5" s="56">
        <v>2</v>
      </c>
      <c r="U5" s="56" t="s">
        <v>0</v>
      </c>
      <c r="V5" s="57">
        <v>1</v>
      </c>
      <c r="W5" s="2">
        <f t="shared" si="20"/>
        <v>0</v>
      </c>
      <c r="X5" s="97">
        <f t="shared" si="4"/>
        <v>3</v>
      </c>
      <c r="Y5" s="74">
        <v>1</v>
      </c>
      <c r="Z5" s="56" t="s">
        <v>0</v>
      </c>
      <c r="AA5" s="76">
        <v>1</v>
      </c>
      <c r="AB5" s="2">
        <f t="shared" si="21"/>
        <v>3</v>
      </c>
      <c r="AC5" s="97">
        <f t="shared" si="5"/>
        <v>1</v>
      </c>
      <c r="AD5" s="56">
        <v>0</v>
      </c>
      <c r="AE5" s="56" t="s">
        <v>0</v>
      </c>
      <c r="AF5" s="57">
        <v>1</v>
      </c>
      <c r="AG5" s="2">
        <f t="shared" si="22"/>
        <v>0</v>
      </c>
      <c r="AH5" s="97">
        <f t="shared" si="6"/>
        <v>1</v>
      </c>
      <c r="AI5" s="56">
        <v>0</v>
      </c>
      <c r="AJ5" s="56" t="s">
        <v>0</v>
      </c>
      <c r="AK5" s="57">
        <v>2</v>
      </c>
      <c r="AL5" s="2">
        <f t="shared" si="23"/>
        <v>0</v>
      </c>
      <c r="AM5" s="97">
        <f t="shared" si="7"/>
        <v>1</v>
      </c>
      <c r="AN5" s="56">
        <v>1</v>
      </c>
      <c r="AO5" s="56" t="s">
        <v>0</v>
      </c>
      <c r="AP5" s="57">
        <v>2</v>
      </c>
      <c r="AQ5" s="2">
        <f t="shared" si="24"/>
        <v>0</v>
      </c>
      <c r="AR5" s="97">
        <f t="shared" si="8"/>
        <v>2</v>
      </c>
      <c r="AS5" s="56">
        <v>1</v>
      </c>
      <c r="AT5" s="56" t="s">
        <v>0</v>
      </c>
      <c r="AU5" s="57">
        <v>0</v>
      </c>
      <c r="AV5" s="2">
        <f t="shared" si="25"/>
        <v>0</v>
      </c>
      <c r="AW5" s="97">
        <f t="shared" si="9"/>
        <v>2</v>
      </c>
      <c r="AX5" s="56">
        <v>2</v>
      </c>
      <c r="AY5" s="56" t="s">
        <v>0</v>
      </c>
      <c r="AZ5" s="57">
        <v>0</v>
      </c>
      <c r="BA5" s="2">
        <f t="shared" si="10"/>
        <v>0</v>
      </c>
      <c r="BB5" s="97">
        <f t="shared" si="26"/>
        <v>1</v>
      </c>
      <c r="BC5" s="56">
        <v>1</v>
      </c>
      <c r="BD5" s="56" t="s">
        <v>0</v>
      </c>
      <c r="BE5" s="57">
        <v>2</v>
      </c>
      <c r="BF5" s="2">
        <f t="shared" si="27"/>
        <v>0</v>
      </c>
      <c r="BG5" s="97">
        <f t="shared" si="28"/>
        <v>1</v>
      </c>
      <c r="BH5" s="56">
        <v>0</v>
      </c>
      <c r="BI5" s="56" t="s">
        <v>0</v>
      </c>
      <c r="BJ5" s="57">
        <v>2</v>
      </c>
      <c r="BK5" s="2">
        <f t="shared" si="29"/>
        <v>0</v>
      </c>
      <c r="BL5" s="97">
        <f t="shared" si="30"/>
        <v>2</v>
      </c>
      <c r="BM5" s="56">
        <v>1</v>
      </c>
      <c r="BN5" s="56" t="s">
        <v>0</v>
      </c>
      <c r="BO5" s="57">
        <v>0</v>
      </c>
      <c r="BP5" s="2">
        <f t="shared" si="31"/>
        <v>0</v>
      </c>
      <c r="BQ5" s="97">
        <f t="shared" si="32"/>
        <v>3</v>
      </c>
      <c r="BR5" s="56"/>
      <c r="BS5" s="56" t="s">
        <v>0</v>
      </c>
      <c r="BT5" s="57"/>
      <c r="BU5" s="2">
        <f t="shared" si="33"/>
        <v>0</v>
      </c>
      <c r="BV5" s="97">
        <f t="shared" si="34"/>
        <v>3</v>
      </c>
      <c r="BW5" s="56"/>
      <c r="BX5" s="56" t="s">
        <v>0</v>
      </c>
      <c r="BY5" s="57"/>
      <c r="BZ5" s="2">
        <f t="shared" si="35"/>
        <v>0</v>
      </c>
      <c r="CA5" s="97">
        <f t="shared" si="36"/>
        <v>3</v>
      </c>
      <c r="CB5" s="19"/>
      <c r="CC5" s="1" t="s">
        <v>0</v>
      </c>
      <c r="CD5" s="20"/>
      <c r="CE5" s="2">
        <f t="shared" si="37"/>
        <v>0</v>
      </c>
    </row>
    <row r="6" spans="1:83" ht="13.5" hidden="1" customHeight="1" outlineLevel="1">
      <c r="A6" s="71">
        <v>46186.125</v>
      </c>
      <c r="B6" s="32" t="s">
        <v>99</v>
      </c>
      <c r="C6" s="33" t="s">
        <v>100</v>
      </c>
      <c r="D6" s="43">
        <v>4</v>
      </c>
      <c r="E6" s="44" t="s">
        <v>0</v>
      </c>
      <c r="F6" s="43">
        <v>1</v>
      </c>
      <c r="G6">
        <f t="shared" si="0"/>
        <v>2</v>
      </c>
      <c r="H6" s="45"/>
      <c r="I6" s="97">
        <f t="shared" si="1"/>
        <v>2</v>
      </c>
      <c r="J6" s="56">
        <v>1</v>
      </c>
      <c r="K6" s="56" t="s">
        <v>0</v>
      </c>
      <c r="L6" s="57">
        <v>0</v>
      </c>
      <c r="M6" s="2">
        <f t="shared" si="18"/>
        <v>1</v>
      </c>
      <c r="N6" s="97">
        <f t="shared" si="2"/>
        <v>2</v>
      </c>
      <c r="O6" s="56">
        <v>2</v>
      </c>
      <c r="P6" s="56" t="s">
        <v>0</v>
      </c>
      <c r="Q6" s="57">
        <v>1</v>
      </c>
      <c r="R6" s="2">
        <f t="shared" si="19"/>
        <v>1</v>
      </c>
      <c r="S6" s="97">
        <f t="shared" si="3"/>
        <v>2</v>
      </c>
      <c r="T6" s="56">
        <v>3</v>
      </c>
      <c r="U6" s="56" t="s">
        <v>0</v>
      </c>
      <c r="V6" s="57">
        <v>0</v>
      </c>
      <c r="W6" s="2">
        <f t="shared" si="20"/>
        <v>1</v>
      </c>
      <c r="X6" s="97">
        <f t="shared" si="4"/>
        <v>3</v>
      </c>
      <c r="Y6" s="74">
        <v>1</v>
      </c>
      <c r="Z6" s="56" t="s">
        <v>0</v>
      </c>
      <c r="AA6" s="76">
        <v>1</v>
      </c>
      <c r="AB6" s="2">
        <f t="shared" si="21"/>
        <v>0</v>
      </c>
      <c r="AC6" s="97">
        <f t="shared" si="5"/>
        <v>2</v>
      </c>
      <c r="AD6" s="56">
        <v>2</v>
      </c>
      <c r="AE6" s="56" t="s">
        <v>0</v>
      </c>
      <c r="AF6" s="57">
        <v>0</v>
      </c>
      <c r="AG6" s="2">
        <f t="shared" si="22"/>
        <v>1</v>
      </c>
      <c r="AH6" s="97">
        <f t="shared" si="6"/>
        <v>3</v>
      </c>
      <c r="AI6" s="56">
        <v>1</v>
      </c>
      <c r="AJ6" s="56" t="s">
        <v>0</v>
      </c>
      <c r="AK6" s="57">
        <v>1</v>
      </c>
      <c r="AL6" s="2">
        <f t="shared" si="23"/>
        <v>0</v>
      </c>
      <c r="AM6" s="97">
        <f t="shared" si="7"/>
        <v>3</v>
      </c>
      <c r="AN6" s="56">
        <v>1</v>
      </c>
      <c r="AO6" s="56" t="s">
        <v>0</v>
      </c>
      <c r="AP6" s="57">
        <v>1</v>
      </c>
      <c r="AQ6" s="2">
        <f t="shared" si="24"/>
        <v>0</v>
      </c>
      <c r="AR6" s="97">
        <f t="shared" si="8"/>
        <v>2</v>
      </c>
      <c r="AS6" s="56">
        <v>2</v>
      </c>
      <c r="AT6" s="56" t="s">
        <v>0</v>
      </c>
      <c r="AU6" s="57">
        <v>0</v>
      </c>
      <c r="AV6" s="2">
        <f t="shared" si="25"/>
        <v>1</v>
      </c>
      <c r="AW6" s="97">
        <f t="shared" si="9"/>
        <v>2</v>
      </c>
      <c r="AX6" s="56">
        <v>2</v>
      </c>
      <c r="AY6" s="56" t="s">
        <v>0</v>
      </c>
      <c r="AZ6" s="57">
        <v>1</v>
      </c>
      <c r="BA6" s="2">
        <f t="shared" si="10"/>
        <v>1</v>
      </c>
      <c r="BB6" s="97">
        <f t="shared" si="26"/>
        <v>2</v>
      </c>
      <c r="BC6" s="56">
        <v>2</v>
      </c>
      <c r="BD6" s="56" t="s">
        <v>0</v>
      </c>
      <c r="BE6" s="57">
        <v>0</v>
      </c>
      <c r="BF6" s="2">
        <f t="shared" si="27"/>
        <v>1</v>
      </c>
      <c r="BG6" s="97">
        <f t="shared" si="28"/>
        <v>1</v>
      </c>
      <c r="BH6" s="56">
        <v>0</v>
      </c>
      <c r="BI6" s="56" t="s">
        <v>0</v>
      </c>
      <c r="BJ6" s="57">
        <v>1</v>
      </c>
      <c r="BK6" s="2">
        <f t="shared" si="29"/>
        <v>0</v>
      </c>
      <c r="BL6" s="97">
        <f t="shared" si="30"/>
        <v>1</v>
      </c>
      <c r="BM6" s="56">
        <v>0</v>
      </c>
      <c r="BN6" s="56" t="s">
        <v>0</v>
      </c>
      <c r="BO6" s="57">
        <v>1</v>
      </c>
      <c r="BP6" s="2">
        <f t="shared" si="31"/>
        <v>0</v>
      </c>
      <c r="BQ6" s="97">
        <f t="shared" si="32"/>
        <v>3</v>
      </c>
      <c r="BR6" s="56"/>
      <c r="BS6" s="56" t="s">
        <v>0</v>
      </c>
      <c r="BT6" s="57"/>
      <c r="BU6" s="2">
        <f t="shared" si="33"/>
        <v>0</v>
      </c>
      <c r="BV6" s="97">
        <f t="shared" si="34"/>
        <v>3</v>
      </c>
      <c r="BW6" s="56"/>
      <c r="BX6" s="56" t="s">
        <v>0</v>
      </c>
      <c r="BY6" s="57"/>
      <c r="BZ6" s="2">
        <f t="shared" si="35"/>
        <v>0</v>
      </c>
      <c r="CA6" s="97">
        <f t="shared" si="36"/>
        <v>3</v>
      </c>
      <c r="CB6" s="19"/>
      <c r="CC6" s="1" t="s">
        <v>0</v>
      </c>
      <c r="CD6" s="20"/>
      <c r="CE6" s="2">
        <f t="shared" si="37"/>
        <v>0</v>
      </c>
    </row>
    <row r="7" spans="1:83" ht="13.5" hidden="1" customHeight="1" outlineLevel="1">
      <c r="A7" s="71">
        <v>46186.875</v>
      </c>
      <c r="B7" s="32" t="s">
        <v>101</v>
      </c>
      <c r="C7" s="33" t="s">
        <v>87</v>
      </c>
      <c r="D7" s="43">
        <v>1</v>
      </c>
      <c r="E7" s="44" t="s">
        <v>0</v>
      </c>
      <c r="F7" s="43">
        <v>1</v>
      </c>
      <c r="G7">
        <f t="shared" si="0"/>
        <v>3</v>
      </c>
      <c r="H7" s="45"/>
      <c r="I7" s="97">
        <f t="shared" si="1"/>
        <v>1</v>
      </c>
      <c r="J7" s="56">
        <v>0</v>
      </c>
      <c r="K7" s="56" t="s">
        <v>0</v>
      </c>
      <c r="L7" s="57">
        <v>2</v>
      </c>
      <c r="M7" s="2">
        <f t="shared" si="18"/>
        <v>0</v>
      </c>
      <c r="N7" s="97">
        <f t="shared" si="2"/>
        <v>1</v>
      </c>
      <c r="O7" s="56">
        <v>1</v>
      </c>
      <c r="P7" s="56" t="s">
        <v>0</v>
      </c>
      <c r="Q7" s="57">
        <v>3</v>
      </c>
      <c r="R7" s="2">
        <f t="shared" si="19"/>
        <v>0</v>
      </c>
      <c r="S7" s="97">
        <f t="shared" si="3"/>
        <v>1</v>
      </c>
      <c r="T7" s="56">
        <v>0</v>
      </c>
      <c r="U7" s="56" t="s">
        <v>0</v>
      </c>
      <c r="V7" s="57">
        <v>3</v>
      </c>
      <c r="W7" s="2">
        <f t="shared" si="20"/>
        <v>0</v>
      </c>
      <c r="X7" s="97">
        <f t="shared" si="4"/>
        <v>3</v>
      </c>
      <c r="Y7" s="74">
        <v>1</v>
      </c>
      <c r="Z7" s="56" t="s">
        <v>0</v>
      </c>
      <c r="AA7" s="76">
        <v>1</v>
      </c>
      <c r="AB7" s="2">
        <f t="shared" si="21"/>
        <v>3</v>
      </c>
      <c r="AC7" s="97">
        <f t="shared" si="5"/>
        <v>1</v>
      </c>
      <c r="AD7" s="56">
        <v>0</v>
      </c>
      <c r="AE7" s="56" t="s">
        <v>0</v>
      </c>
      <c r="AF7" s="57">
        <v>2</v>
      </c>
      <c r="AG7" s="2">
        <f t="shared" si="22"/>
        <v>0</v>
      </c>
      <c r="AH7" s="97">
        <f t="shared" si="6"/>
        <v>1</v>
      </c>
      <c r="AI7" s="56">
        <v>1</v>
      </c>
      <c r="AJ7" s="56" t="s">
        <v>0</v>
      </c>
      <c r="AK7" s="57">
        <v>3</v>
      </c>
      <c r="AL7" s="2">
        <f t="shared" si="23"/>
        <v>0</v>
      </c>
      <c r="AM7" s="97">
        <f t="shared" si="7"/>
        <v>1</v>
      </c>
      <c r="AN7" s="56">
        <v>0</v>
      </c>
      <c r="AO7" s="56" t="s">
        <v>0</v>
      </c>
      <c r="AP7" s="57">
        <v>2</v>
      </c>
      <c r="AQ7" s="2">
        <f t="shared" si="24"/>
        <v>0</v>
      </c>
      <c r="AR7" s="97">
        <f t="shared" si="8"/>
        <v>1</v>
      </c>
      <c r="AS7" s="56">
        <v>0</v>
      </c>
      <c r="AT7" s="56" t="s">
        <v>0</v>
      </c>
      <c r="AU7" s="57">
        <v>2</v>
      </c>
      <c r="AV7" s="2">
        <f t="shared" si="25"/>
        <v>0</v>
      </c>
      <c r="AW7" s="97">
        <f t="shared" si="9"/>
        <v>1</v>
      </c>
      <c r="AX7" s="56">
        <v>0</v>
      </c>
      <c r="AY7" s="56" t="s">
        <v>0</v>
      </c>
      <c r="AZ7" s="57">
        <v>3</v>
      </c>
      <c r="BA7" s="2">
        <f t="shared" si="10"/>
        <v>0</v>
      </c>
      <c r="BB7" s="97">
        <f t="shared" si="26"/>
        <v>1</v>
      </c>
      <c r="BC7" s="56">
        <v>0</v>
      </c>
      <c r="BD7" s="56" t="s">
        <v>0</v>
      </c>
      <c r="BE7" s="57">
        <v>3</v>
      </c>
      <c r="BF7" s="2">
        <f t="shared" si="27"/>
        <v>0</v>
      </c>
      <c r="BG7" s="97">
        <f t="shared" si="28"/>
        <v>1</v>
      </c>
      <c r="BH7" s="56">
        <v>0</v>
      </c>
      <c r="BI7" s="56" t="s">
        <v>0</v>
      </c>
      <c r="BJ7" s="57">
        <v>3</v>
      </c>
      <c r="BK7" s="2">
        <f t="shared" si="29"/>
        <v>0</v>
      </c>
      <c r="BL7" s="97">
        <f t="shared" si="30"/>
        <v>1</v>
      </c>
      <c r="BM7" s="56">
        <v>0</v>
      </c>
      <c r="BN7" s="56" t="s">
        <v>0</v>
      </c>
      <c r="BO7" s="57">
        <v>2</v>
      </c>
      <c r="BP7" s="2">
        <f t="shared" si="31"/>
        <v>0</v>
      </c>
      <c r="BQ7" s="97">
        <f t="shared" si="32"/>
        <v>3</v>
      </c>
      <c r="BR7" s="56"/>
      <c r="BS7" s="56" t="s">
        <v>0</v>
      </c>
      <c r="BT7" s="57"/>
      <c r="BU7" s="2">
        <f t="shared" si="33"/>
        <v>0</v>
      </c>
      <c r="BV7" s="97">
        <f t="shared" si="34"/>
        <v>3</v>
      </c>
      <c r="BW7" s="56"/>
      <c r="BX7" s="56" t="s">
        <v>0</v>
      </c>
      <c r="BY7" s="57"/>
      <c r="BZ7" s="2">
        <f t="shared" si="35"/>
        <v>0</v>
      </c>
      <c r="CA7" s="97">
        <f t="shared" si="36"/>
        <v>3</v>
      </c>
      <c r="CB7" s="19"/>
      <c r="CC7" s="1" t="s">
        <v>0</v>
      </c>
      <c r="CD7" s="20"/>
      <c r="CE7" s="2">
        <f t="shared" si="37"/>
        <v>0</v>
      </c>
    </row>
    <row r="8" spans="1:83" ht="13.5" hidden="1" customHeight="1" outlineLevel="1">
      <c r="A8" s="71">
        <v>46187</v>
      </c>
      <c r="B8" s="32" t="s">
        <v>102</v>
      </c>
      <c r="C8" s="33" t="s">
        <v>103</v>
      </c>
      <c r="D8" s="43">
        <v>1</v>
      </c>
      <c r="E8" s="44" t="s">
        <v>0</v>
      </c>
      <c r="F8" s="43">
        <v>1</v>
      </c>
      <c r="G8">
        <f t="shared" si="0"/>
        <v>3</v>
      </c>
      <c r="H8" s="45"/>
      <c r="I8" s="97">
        <f t="shared" si="1"/>
        <v>2</v>
      </c>
      <c r="J8" s="56">
        <v>2</v>
      </c>
      <c r="K8" s="56" t="s">
        <v>0</v>
      </c>
      <c r="L8" s="57">
        <v>1</v>
      </c>
      <c r="M8" s="2">
        <f t="shared" si="18"/>
        <v>0</v>
      </c>
      <c r="N8" s="97">
        <f t="shared" si="2"/>
        <v>3</v>
      </c>
      <c r="O8" s="56">
        <v>1</v>
      </c>
      <c r="P8" s="56" t="s">
        <v>0</v>
      </c>
      <c r="Q8" s="57">
        <v>1</v>
      </c>
      <c r="R8" s="2">
        <f t="shared" si="19"/>
        <v>3</v>
      </c>
      <c r="S8" s="97">
        <f t="shared" si="3"/>
        <v>2</v>
      </c>
      <c r="T8" s="56">
        <v>3</v>
      </c>
      <c r="U8" s="56" t="s">
        <v>0</v>
      </c>
      <c r="V8" s="57">
        <v>2</v>
      </c>
      <c r="W8" s="2">
        <f t="shared" si="20"/>
        <v>0</v>
      </c>
      <c r="X8" s="97">
        <f t="shared" si="4"/>
        <v>2</v>
      </c>
      <c r="Y8" s="74">
        <v>3</v>
      </c>
      <c r="Z8" s="56" t="s">
        <v>0</v>
      </c>
      <c r="AA8" s="76">
        <v>0</v>
      </c>
      <c r="AB8" s="2">
        <f t="shared" si="21"/>
        <v>0</v>
      </c>
      <c r="AC8" s="97">
        <f t="shared" si="5"/>
        <v>2</v>
      </c>
      <c r="AD8" s="56">
        <v>3</v>
      </c>
      <c r="AE8" s="56" t="s">
        <v>0</v>
      </c>
      <c r="AF8" s="57">
        <v>0</v>
      </c>
      <c r="AG8" s="2">
        <f t="shared" si="22"/>
        <v>0</v>
      </c>
      <c r="AH8" s="97">
        <f t="shared" si="6"/>
        <v>2</v>
      </c>
      <c r="AI8" s="56">
        <v>3</v>
      </c>
      <c r="AJ8" s="56" t="s">
        <v>0</v>
      </c>
      <c r="AK8" s="57">
        <v>1</v>
      </c>
      <c r="AL8" s="2">
        <f t="shared" si="23"/>
        <v>0</v>
      </c>
      <c r="AM8" s="97">
        <f t="shared" si="7"/>
        <v>3</v>
      </c>
      <c r="AN8" s="56">
        <v>2</v>
      </c>
      <c r="AO8" s="56" t="s">
        <v>0</v>
      </c>
      <c r="AP8" s="57">
        <v>2</v>
      </c>
      <c r="AQ8" s="2">
        <f t="shared" si="24"/>
        <v>1</v>
      </c>
      <c r="AR8" s="97">
        <f t="shared" si="8"/>
        <v>2</v>
      </c>
      <c r="AS8" s="56">
        <v>2</v>
      </c>
      <c r="AT8" s="56" t="s">
        <v>0</v>
      </c>
      <c r="AU8" s="57">
        <v>1</v>
      </c>
      <c r="AV8" s="2">
        <f t="shared" si="25"/>
        <v>0</v>
      </c>
      <c r="AW8" s="97">
        <f t="shared" si="9"/>
        <v>2</v>
      </c>
      <c r="AX8" s="56">
        <v>1</v>
      </c>
      <c r="AY8" s="56" t="s">
        <v>0</v>
      </c>
      <c r="AZ8" s="57">
        <v>0</v>
      </c>
      <c r="BA8" s="2">
        <f t="shared" si="10"/>
        <v>0</v>
      </c>
      <c r="BB8" s="97">
        <f t="shared" si="26"/>
        <v>3</v>
      </c>
      <c r="BC8" s="56">
        <v>2</v>
      </c>
      <c r="BD8" s="56" t="s">
        <v>0</v>
      </c>
      <c r="BE8" s="57">
        <v>2</v>
      </c>
      <c r="BF8" s="2">
        <f t="shared" si="27"/>
        <v>1</v>
      </c>
      <c r="BG8" s="97">
        <f t="shared" si="28"/>
        <v>2</v>
      </c>
      <c r="BH8" s="56">
        <v>2</v>
      </c>
      <c r="BI8" s="56" t="s">
        <v>0</v>
      </c>
      <c r="BJ8" s="57">
        <v>1</v>
      </c>
      <c r="BK8" s="2">
        <f t="shared" si="29"/>
        <v>0</v>
      </c>
      <c r="BL8" s="97">
        <f t="shared" si="30"/>
        <v>2</v>
      </c>
      <c r="BM8" s="56">
        <v>2</v>
      </c>
      <c r="BN8" s="56" t="s">
        <v>0</v>
      </c>
      <c r="BO8" s="57">
        <v>0</v>
      </c>
      <c r="BP8" s="2">
        <f t="shared" si="31"/>
        <v>0</v>
      </c>
      <c r="BQ8" s="97">
        <f t="shared" si="32"/>
        <v>3</v>
      </c>
      <c r="BR8" s="56"/>
      <c r="BS8" s="56" t="s">
        <v>0</v>
      </c>
      <c r="BT8" s="57"/>
      <c r="BU8" s="2">
        <f t="shared" si="33"/>
        <v>0</v>
      </c>
      <c r="BV8" s="97">
        <f t="shared" si="34"/>
        <v>3</v>
      </c>
      <c r="BW8" s="56"/>
      <c r="BX8" s="56" t="s">
        <v>0</v>
      </c>
      <c r="BY8" s="57"/>
      <c r="BZ8" s="2">
        <f t="shared" si="35"/>
        <v>0</v>
      </c>
      <c r="CA8" s="97">
        <f t="shared" si="36"/>
        <v>3</v>
      </c>
      <c r="CB8" s="19"/>
      <c r="CC8" s="1" t="s">
        <v>0</v>
      </c>
      <c r="CD8" s="20"/>
      <c r="CE8" s="2">
        <f t="shared" si="37"/>
        <v>0</v>
      </c>
    </row>
    <row r="9" spans="1:83" ht="13.5" hidden="1" customHeight="1" outlineLevel="1">
      <c r="A9" s="71">
        <v>46187.125</v>
      </c>
      <c r="B9" s="32" t="s">
        <v>78</v>
      </c>
      <c r="C9" s="33" t="s">
        <v>88</v>
      </c>
      <c r="D9" s="43">
        <v>0</v>
      </c>
      <c r="E9" s="44" t="s">
        <v>0</v>
      </c>
      <c r="F9" s="43">
        <v>1</v>
      </c>
      <c r="G9">
        <f t="shared" si="0"/>
        <v>1</v>
      </c>
      <c r="H9" s="45"/>
      <c r="I9" s="97">
        <f t="shared" si="1"/>
        <v>1</v>
      </c>
      <c r="J9" s="56">
        <v>0</v>
      </c>
      <c r="K9" s="56" t="s">
        <v>0</v>
      </c>
      <c r="L9" s="57">
        <v>2</v>
      </c>
      <c r="M9" s="2">
        <f t="shared" si="18"/>
        <v>1</v>
      </c>
      <c r="N9" s="97">
        <f t="shared" si="2"/>
        <v>3</v>
      </c>
      <c r="O9" s="56">
        <v>2</v>
      </c>
      <c r="P9" s="56" t="s">
        <v>0</v>
      </c>
      <c r="Q9" s="57">
        <v>2</v>
      </c>
      <c r="R9" s="2">
        <f t="shared" si="19"/>
        <v>0</v>
      </c>
      <c r="S9" s="97">
        <f t="shared" si="3"/>
        <v>1</v>
      </c>
      <c r="T9" s="56">
        <v>1</v>
      </c>
      <c r="U9" s="56" t="s">
        <v>0</v>
      </c>
      <c r="V9" s="57">
        <v>3</v>
      </c>
      <c r="W9" s="2">
        <f t="shared" si="20"/>
        <v>1</v>
      </c>
      <c r="X9" s="97">
        <f t="shared" si="4"/>
        <v>3</v>
      </c>
      <c r="Y9" s="74">
        <v>1</v>
      </c>
      <c r="Z9" s="56" t="s">
        <v>0</v>
      </c>
      <c r="AA9" s="76">
        <v>1</v>
      </c>
      <c r="AB9" s="2">
        <f t="shared" si="21"/>
        <v>0</v>
      </c>
      <c r="AC9" s="97">
        <f t="shared" si="5"/>
        <v>1</v>
      </c>
      <c r="AD9" s="56">
        <v>0</v>
      </c>
      <c r="AE9" s="56" t="s">
        <v>0</v>
      </c>
      <c r="AF9" s="57">
        <v>4</v>
      </c>
      <c r="AG9" s="2">
        <f t="shared" si="22"/>
        <v>1</v>
      </c>
      <c r="AH9" s="97">
        <f t="shared" si="6"/>
        <v>1</v>
      </c>
      <c r="AI9" s="56">
        <v>0</v>
      </c>
      <c r="AJ9" s="56" t="s">
        <v>0</v>
      </c>
      <c r="AK9" s="57">
        <v>2</v>
      </c>
      <c r="AL9" s="2">
        <f t="shared" si="23"/>
        <v>1</v>
      </c>
      <c r="AM9" s="97">
        <f t="shared" si="7"/>
        <v>1</v>
      </c>
      <c r="AN9" s="56">
        <v>0</v>
      </c>
      <c r="AO9" s="56" t="s">
        <v>0</v>
      </c>
      <c r="AP9" s="57">
        <v>2</v>
      </c>
      <c r="AQ9" s="2">
        <f t="shared" si="24"/>
        <v>1</v>
      </c>
      <c r="AR9" s="97">
        <f t="shared" si="8"/>
        <v>1</v>
      </c>
      <c r="AS9" s="56">
        <v>0</v>
      </c>
      <c r="AT9" s="56" t="s">
        <v>0</v>
      </c>
      <c r="AU9" s="57">
        <v>3</v>
      </c>
      <c r="AV9" s="2">
        <f t="shared" si="25"/>
        <v>1</v>
      </c>
      <c r="AW9" s="97">
        <f t="shared" si="9"/>
        <v>1</v>
      </c>
      <c r="AX9" s="56">
        <v>0</v>
      </c>
      <c r="AY9" s="56" t="s">
        <v>0</v>
      </c>
      <c r="AZ9" s="57">
        <v>3</v>
      </c>
      <c r="BA9" s="2">
        <f t="shared" si="10"/>
        <v>1</v>
      </c>
      <c r="BB9" s="97">
        <f t="shared" si="26"/>
        <v>1</v>
      </c>
      <c r="BC9" s="56">
        <v>0</v>
      </c>
      <c r="BD9" s="56" t="s">
        <v>0</v>
      </c>
      <c r="BE9" s="57">
        <v>3</v>
      </c>
      <c r="BF9" s="2">
        <f t="shared" si="27"/>
        <v>1</v>
      </c>
      <c r="BG9" s="97">
        <f t="shared" si="28"/>
        <v>1</v>
      </c>
      <c r="BH9" s="56">
        <v>0</v>
      </c>
      <c r="BI9" s="56" t="s">
        <v>0</v>
      </c>
      <c r="BJ9" s="57">
        <v>3</v>
      </c>
      <c r="BK9" s="2">
        <f t="shared" si="29"/>
        <v>1</v>
      </c>
      <c r="BL9" s="97">
        <f t="shared" si="30"/>
        <v>1</v>
      </c>
      <c r="BM9" s="56">
        <v>1</v>
      </c>
      <c r="BN9" s="56" t="s">
        <v>0</v>
      </c>
      <c r="BO9" s="57">
        <v>2</v>
      </c>
      <c r="BP9" s="2">
        <f t="shared" si="31"/>
        <v>1</v>
      </c>
      <c r="BQ9" s="97">
        <f t="shared" si="32"/>
        <v>3</v>
      </c>
      <c r="BR9" s="56"/>
      <c r="BS9" s="56" t="s">
        <v>0</v>
      </c>
      <c r="BT9" s="57"/>
      <c r="BU9" s="2">
        <f t="shared" si="33"/>
        <v>0</v>
      </c>
      <c r="BV9" s="97">
        <f t="shared" si="34"/>
        <v>3</v>
      </c>
      <c r="BW9" s="56"/>
      <c r="BX9" s="56" t="s">
        <v>0</v>
      </c>
      <c r="BY9" s="57"/>
      <c r="BZ9" s="2">
        <f t="shared" si="35"/>
        <v>0</v>
      </c>
      <c r="CA9" s="97">
        <f t="shared" si="36"/>
        <v>3</v>
      </c>
      <c r="CB9" s="19"/>
      <c r="CC9" s="1" t="s">
        <v>0</v>
      </c>
      <c r="CD9" s="20"/>
      <c r="CE9" s="2">
        <f t="shared" si="37"/>
        <v>0</v>
      </c>
    </row>
    <row r="10" spans="1:83" ht="13.5" hidden="1" customHeight="1" outlineLevel="1">
      <c r="A10" s="71">
        <v>46187.25</v>
      </c>
      <c r="B10" s="32" t="s">
        <v>79</v>
      </c>
      <c r="C10" s="33" t="s">
        <v>89</v>
      </c>
      <c r="D10" s="43">
        <v>2</v>
      </c>
      <c r="E10" s="44" t="s">
        <v>0</v>
      </c>
      <c r="F10" s="43">
        <v>0</v>
      </c>
      <c r="G10">
        <f t="shared" si="0"/>
        <v>2</v>
      </c>
      <c r="H10" s="45"/>
      <c r="I10" s="97">
        <f t="shared" si="1"/>
        <v>3</v>
      </c>
      <c r="J10" s="56">
        <v>1</v>
      </c>
      <c r="K10" s="56" t="s">
        <v>0</v>
      </c>
      <c r="L10" s="57">
        <v>1</v>
      </c>
      <c r="M10" s="2">
        <f t="shared" si="18"/>
        <v>0</v>
      </c>
      <c r="N10" s="97">
        <f t="shared" si="2"/>
        <v>3</v>
      </c>
      <c r="O10" s="56">
        <v>2</v>
      </c>
      <c r="P10" s="56" t="s">
        <v>0</v>
      </c>
      <c r="Q10" s="57">
        <v>2</v>
      </c>
      <c r="R10" s="2">
        <f t="shared" si="19"/>
        <v>0</v>
      </c>
      <c r="S10" s="97">
        <f t="shared" si="3"/>
        <v>1</v>
      </c>
      <c r="T10" s="56">
        <v>1</v>
      </c>
      <c r="U10" s="56" t="s">
        <v>0</v>
      </c>
      <c r="V10" s="57">
        <v>2</v>
      </c>
      <c r="W10" s="2">
        <f t="shared" si="20"/>
        <v>0</v>
      </c>
      <c r="X10" s="97">
        <f t="shared" si="4"/>
        <v>3</v>
      </c>
      <c r="Y10" s="74">
        <v>0</v>
      </c>
      <c r="Z10" s="56" t="s">
        <v>0</v>
      </c>
      <c r="AA10" s="76">
        <v>0</v>
      </c>
      <c r="AB10" s="2">
        <f t="shared" si="21"/>
        <v>0</v>
      </c>
      <c r="AC10" s="97">
        <f t="shared" si="5"/>
        <v>3</v>
      </c>
      <c r="AD10" s="56">
        <v>1</v>
      </c>
      <c r="AE10" s="56" t="s">
        <v>0</v>
      </c>
      <c r="AF10" s="57">
        <v>1</v>
      </c>
      <c r="AG10" s="2">
        <f t="shared" si="22"/>
        <v>0</v>
      </c>
      <c r="AH10" s="97">
        <f t="shared" si="6"/>
        <v>3</v>
      </c>
      <c r="AI10" s="56">
        <v>1</v>
      </c>
      <c r="AJ10" s="56" t="s">
        <v>0</v>
      </c>
      <c r="AK10" s="57">
        <v>1</v>
      </c>
      <c r="AL10" s="2">
        <f t="shared" si="23"/>
        <v>0</v>
      </c>
      <c r="AM10" s="97">
        <f t="shared" si="7"/>
        <v>1</v>
      </c>
      <c r="AN10" s="56">
        <v>1</v>
      </c>
      <c r="AO10" s="56" t="s">
        <v>0</v>
      </c>
      <c r="AP10" s="57">
        <v>2</v>
      </c>
      <c r="AQ10" s="2">
        <f t="shared" si="24"/>
        <v>0</v>
      </c>
      <c r="AR10" s="97">
        <f t="shared" si="8"/>
        <v>3</v>
      </c>
      <c r="AS10" s="56">
        <v>1</v>
      </c>
      <c r="AT10" s="56" t="s">
        <v>0</v>
      </c>
      <c r="AU10" s="57">
        <v>1</v>
      </c>
      <c r="AV10" s="2">
        <f t="shared" si="25"/>
        <v>0</v>
      </c>
      <c r="AW10" s="97">
        <f t="shared" si="9"/>
        <v>3</v>
      </c>
      <c r="AX10" s="56">
        <v>2</v>
      </c>
      <c r="AY10" s="56" t="s">
        <v>0</v>
      </c>
      <c r="AZ10" s="57">
        <v>2</v>
      </c>
      <c r="BA10" s="2">
        <f t="shared" si="10"/>
        <v>0</v>
      </c>
      <c r="BB10" s="97">
        <f t="shared" si="26"/>
        <v>1</v>
      </c>
      <c r="BC10" s="56">
        <v>1</v>
      </c>
      <c r="BD10" s="56" t="s">
        <v>0</v>
      </c>
      <c r="BE10" s="57">
        <v>2</v>
      </c>
      <c r="BF10" s="2">
        <f t="shared" si="27"/>
        <v>0</v>
      </c>
      <c r="BG10" s="97">
        <f t="shared" si="28"/>
        <v>1</v>
      </c>
      <c r="BH10" s="56">
        <v>1</v>
      </c>
      <c r="BI10" s="56" t="s">
        <v>0</v>
      </c>
      <c r="BJ10" s="57">
        <v>2</v>
      </c>
      <c r="BK10" s="2">
        <f t="shared" si="29"/>
        <v>0</v>
      </c>
      <c r="BL10" s="97">
        <f t="shared" si="30"/>
        <v>1</v>
      </c>
      <c r="BM10" s="56">
        <v>0</v>
      </c>
      <c r="BN10" s="56" t="s">
        <v>0</v>
      </c>
      <c r="BO10" s="57">
        <v>1</v>
      </c>
      <c r="BP10" s="2">
        <f t="shared" si="31"/>
        <v>0</v>
      </c>
      <c r="BQ10" s="97">
        <f t="shared" si="32"/>
        <v>3</v>
      </c>
      <c r="BR10" s="56"/>
      <c r="BS10" s="56" t="s">
        <v>0</v>
      </c>
      <c r="BT10" s="57"/>
      <c r="BU10" s="2">
        <f t="shared" si="33"/>
        <v>0</v>
      </c>
      <c r="BV10" s="97">
        <f t="shared" si="34"/>
        <v>3</v>
      </c>
      <c r="BW10" s="56"/>
      <c r="BX10" s="56" t="s">
        <v>0</v>
      </c>
      <c r="BY10" s="57"/>
      <c r="BZ10" s="2">
        <f t="shared" si="35"/>
        <v>0</v>
      </c>
      <c r="CA10" s="97">
        <f t="shared" si="36"/>
        <v>3</v>
      </c>
      <c r="CB10" s="19"/>
      <c r="CC10" s="1" t="s">
        <v>0</v>
      </c>
      <c r="CD10" s="20"/>
      <c r="CE10" s="2">
        <f t="shared" si="37"/>
        <v>0</v>
      </c>
    </row>
    <row r="11" spans="1:83" ht="13.5" hidden="1" customHeight="1" outlineLevel="1">
      <c r="A11" s="71">
        <v>46187.791666666664</v>
      </c>
      <c r="B11" s="32" t="s">
        <v>104</v>
      </c>
      <c r="C11" s="33" t="s">
        <v>84</v>
      </c>
      <c r="D11" s="43">
        <v>7</v>
      </c>
      <c r="E11" s="44" t="s">
        <v>0</v>
      </c>
      <c r="F11" s="43">
        <v>1</v>
      </c>
      <c r="G11">
        <f t="shared" si="0"/>
        <v>2</v>
      </c>
      <c r="H11" s="45"/>
      <c r="I11" s="97">
        <f t="shared" si="1"/>
        <v>2</v>
      </c>
      <c r="J11" s="56">
        <v>5</v>
      </c>
      <c r="K11" s="56" t="s">
        <v>0</v>
      </c>
      <c r="L11" s="57">
        <v>0</v>
      </c>
      <c r="M11" s="2">
        <f t="shared" si="18"/>
        <v>1</v>
      </c>
      <c r="N11" s="97">
        <f t="shared" si="2"/>
        <v>2</v>
      </c>
      <c r="O11" s="56">
        <v>2</v>
      </c>
      <c r="P11" s="56" t="s">
        <v>0</v>
      </c>
      <c r="Q11" s="57">
        <v>0</v>
      </c>
      <c r="R11" s="2">
        <f t="shared" si="19"/>
        <v>1</v>
      </c>
      <c r="S11" s="97">
        <f t="shared" si="3"/>
        <v>2</v>
      </c>
      <c r="T11" s="56">
        <v>4</v>
      </c>
      <c r="U11" s="56" t="s">
        <v>0</v>
      </c>
      <c r="V11" s="57">
        <v>0</v>
      </c>
      <c r="W11" s="2">
        <f t="shared" si="20"/>
        <v>1</v>
      </c>
      <c r="X11" s="97">
        <f t="shared" si="4"/>
        <v>2</v>
      </c>
      <c r="Y11" s="74">
        <v>2</v>
      </c>
      <c r="Z11" s="56" t="s">
        <v>0</v>
      </c>
      <c r="AA11" s="76">
        <v>0</v>
      </c>
      <c r="AB11" s="2">
        <f t="shared" si="21"/>
        <v>1</v>
      </c>
      <c r="AC11" s="97">
        <f t="shared" si="5"/>
        <v>2</v>
      </c>
      <c r="AD11" s="56">
        <v>5</v>
      </c>
      <c r="AE11" s="56" t="s">
        <v>0</v>
      </c>
      <c r="AF11" s="57">
        <v>0</v>
      </c>
      <c r="AG11" s="2">
        <f t="shared" si="22"/>
        <v>1</v>
      </c>
      <c r="AH11" s="97">
        <f t="shared" si="6"/>
        <v>2</v>
      </c>
      <c r="AI11" s="56">
        <v>6</v>
      </c>
      <c r="AJ11" s="56" t="s">
        <v>0</v>
      </c>
      <c r="AK11" s="57">
        <v>0</v>
      </c>
      <c r="AL11" s="2">
        <f t="shared" si="23"/>
        <v>1</v>
      </c>
      <c r="AM11" s="97">
        <f t="shared" si="7"/>
        <v>2</v>
      </c>
      <c r="AN11" s="56">
        <v>4</v>
      </c>
      <c r="AO11" s="56" t="s">
        <v>0</v>
      </c>
      <c r="AP11" s="57">
        <v>0</v>
      </c>
      <c r="AQ11" s="2">
        <f t="shared" si="24"/>
        <v>1</v>
      </c>
      <c r="AR11" s="97">
        <f t="shared" si="8"/>
        <v>2</v>
      </c>
      <c r="AS11" s="56">
        <v>3</v>
      </c>
      <c r="AT11" s="56" t="s">
        <v>0</v>
      </c>
      <c r="AU11" s="57">
        <v>0</v>
      </c>
      <c r="AV11" s="2">
        <f t="shared" si="25"/>
        <v>1</v>
      </c>
      <c r="AW11" s="97">
        <f t="shared" si="9"/>
        <v>2</v>
      </c>
      <c r="AX11" s="56">
        <v>3</v>
      </c>
      <c r="AY11" s="56" t="s">
        <v>0</v>
      </c>
      <c r="AZ11" s="57">
        <v>0</v>
      </c>
      <c r="BA11" s="2">
        <f t="shared" si="10"/>
        <v>1</v>
      </c>
      <c r="BB11" s="97">
        <f t="shared" si="26"/>
        <v>2</v>
      </c>
      <c r="BC11" s="56">
        <v>2</v>
      </c>
      <c r="BD11" s="56" t="s">
        <v>0</v>
      </c>
      <c r="BE11" s="57">
        <v>0</v>
      </c>
      <c r="BF11" s="2">
        <f t="shared" si="27"/>
        <v>1</v>
      </c>
      <c r="BG11" s="97">
        <f t="shared" si="28"/>
        <v>2</v>
      </c>
      <c r="BH11" s="56">
        <v>6</v>
      </c>
      <c r="BI11" s="56" t="s">
        <v>0</v>
      </c>
      <c r="BJ11" s="57">
        <v>0</v>
      </c>
      <c r="BK11" s="2">
        <f t="shared" si="29"/>
        <v>1</v>
      </c>
      <c r="BL11" s="97">
        <f t="shared" si="30"/>
        <v>2</v>
      </c>
      <c r="BM11" s="56">
        <v>6</v>
      </c>
      <c r="BN11" s="56" t="s">
        <v>0</v>
      </c>
      <c r="BO11" s="57">
        <v>0</v>
      </c>
      <c r="BP11" s="2">
        <f t="shared" si="31"/>
        <v>1</v>
      </c>
      <c r="BQ11" s="97">
        <f t="shared" si="32"/>
        <v>3</v>
      </c>
      <c r="BR11" s="56"/>
      <c r="BS11" s="56" t="s">
        <v>0</v>
      </c>
      <c r="BT11" s="57"/>
      <c r="BU11" s="2">
        <f t="shared" si="33"/>
        <v>0</v>
      </c>
      <c r="BV11" s="97">
        <f t="shared" si="34"/>
        <v>3</v>
      </c>
      <c r="BW11" s="56"/>
      <c r="BX11" s="56" t="s">
        <v>0</v>
      </c>
      <c r="BY11" s="57"/>
      <c r="BZ11" s="2">
        <f t="shared" si="35"/>
        <v>0</v>
      </c>
      <c r="CA11" s="97">
        <f t="shared" si="36"/>
        <v>3</v>
      </c>
      <c r="CB11" s="19"/>
      <c r="CC11" s="1" t="s">
        <v>0</v>
      </c>
      <c r="CD11" s="20"/>
      <c r="CE11" s="2">
        <f t="shared" si="37"/>
        <v>0</v>
      </c>
    </row>
    <row r="12" spans="1:83" ht="13.5" hidden="1" customHeight="1" outlineLevel="1">
      <c r="A12" s="71">
        <v>46187.916666666664</v>
      </c>
      <c r="B12" s="32" t="s">
        <v>90</v>
      </c>
      <c r="C12" s="33" t="s">
        <v>105</v>
      </c>
      <c r="D12" s="43">
        <v>2</v>
      </c>
      <c r="E12" s="44" t="s">
        <v>0</v>
      </c>
      <c r="F12" s="43">
        <v>2</v>
      </c>
      <c r="G12">
        <f t="shared" si="0"/>
        <v>3</v>
      </c>
      <c r="H12" s="45"/>
      <c r="I12" s="97">
        <f t="shared" si="1"/>
        <v>2</v>
      </c>
      <c r="J12" s="56">
        <v>3</v>
      </c>
      <c r="K12" s="56" t="s">
        <v>0</v>
      </c>
      <c r="L12" s="57">
        <v>0</v>
      </c>
      <c r="M12" s="2">
        <f t="shared" si="18"/>
        <v>0</v>
      </c>
      <c r="N12" s="97">
        <f t="shared" si="2"/>
        <v>1</v>
      </c>
      <c r="O12" s="56">
        <v>0</v>
      </c>
      <c r="P12" s="56" t="s">
        <v>0</v>
      </c>
      <c r="Q12" s="57">
        <v>1</v>
      </c>
      <c r="R12" s="2">
        <f t="shared" si="19"/>
        <v>0</v>
      </c>
      <c r="S12" s="97">
        <f t="shared" si="3"/>
        <v>2</v>
      </c>
      <c r="T12" s="56">
        <v>2</v>
      </c>
      <c r="U12" s="56" t="s">
        <v>0</v>
      </c>
      <c r="V12" s="57">
        <v>1</v>
      </c>
      <c r="W12" s="2">
        <f t="shared" si="20"/>
        <v>0</v>
      </c>
      <c r="X12" s="97">
        <f t="shared" si="4"/>
        <v>3</v>
      </c>
      <c r="Y12" s="74">
        <v>2</v>
      </c>
      <c r="Z12" s="56" t="s">
        <v>0</v>
      </c>
      <c r="AA12" s="76">
        <v>2</v>
      </c>
      <c r="AB12" s="2">
        <f t="shared" si="21"/>
        <v>3</v>
      </c>
      <c r="AC12" s="97">
        <f t="shared" si="5"/>
        <v>2</v>
      </c>
      <c r="AD12" s="56">
        <v>2</v>
      </c>
      <c r="AE12" s="56" t="s">
        <v>0</v>
      </c>
      <c r="AF12" s="57">
        <v>1</v>
      </c>
      <c r="AG12" s="2">
        <f t="shared" si="22"/>
        <v>0</v>
      </c>
      <c r="AH12" s="97">
        <f t="shared" si="6"/>
        <v>2</v>
      </c>
      <c r="AI12" s="56">
        <v>4</v>
      </c>
      <c r="AJ12" s="56" t="s">
        <v>0</v>
      </c>
      <c r="AK12" s="57">
        <v>0</v>
      </c>
      <c r="AL12" s="2">
        <f t="shared" si="23"/>
        <v>0</v>
      </c>
      <c r="AM12" s="97">
        <f t="shared" si="7"/>
        <v>2</v>
      </c>
      <c r="AN12" s="56">
        <v>2</v>
      </c>
      <c r="AO12" s="56" t="s">
        <v>0</v>
      </c>
      <c r="AP12" s="57">
        <v>0</v>
      </c>
      <c r="AQ12" s="2">
        <f t="shared" si="24"/>
        <v>0</v>
      </c>
      <c r="AR12" s="97">
        <f t="shared" si="8"/>
        <v>2</v>
      </c>
      <c r="AS12" s="56">
        <v>2</v>
      </c>
      <c r="AT12" s="56" t="s">
        <v>0</v>
      </c>
      <c r="AU12" s="57">
        <v>1</v>
      </c>
      <c r="AV12" s="2">
        <f t="shared" si="25"/>
        <v>0</v>
      </c>
      <c r="AW12" s="97">
        <f t="shared" si="9"/>
        <v>3</v>
      </c>
      <c r="AX12" s="56">
        <v>2</v>
      </c>
      <c r="AY12" s="56" t="s">
        <v>0</v>
      </c>
      <c r="AZ12" s="57">
        <v>2</v>
      </c>
      <c r="BA12" s="2">
        <f t="shared" si="10"/>
        <v>3</v>
      </c>
      <c r="BB12" s="97">
        <f t="shared" si="26"/>
        <v>2</v>
      </c>
      <c r="BC12" s="56">
        <v>2</v>
      </c>
      <c r="BD12" s="56" t="s">
        <v>0</v>
      </c>
      <c r="BE12" s="57">
        <v>0</v>
      </c>
      <c r="BF12" s="2">
        <f t="shared" si="27"/>
        <v>0</v>
      </c>
      <c r="BG12" s="97">
        <f t="shared" si="28"/>
        <v>2</v>
      </c>
      <c r="BH12" s="56">
        <v>2</v>
      </c>
      <c r="BI12" s="56" t="s">
        <v>0</v>
      </c>
      <c r="BJ12" s="57">
        <v>1</v>
      </c>
      <c r="BK12" s="2">
        <f t="shared" si="29"/>
        <v>0</v>
      </c>
      <c r="BL12" s="97">
        <f t="shared" si="30"/>
        <v>2</v>
      </c>
      <c r="BM12" s="56">
        <v>2</v>
      </c>
      <c r="BN12" s="56" t="s">
        <v>0</v>
      </c>
      <c r="BO12" s="57">
        <v>0</v>
      </c>
      <c r="BP12" s="2">
        <f t="shared" si="31"/>
        <v>0</v>
      </c>
      <c r="BQ12" s="97">
        <f t="shared" si="32"/>
        <v>3</v>
      </c>
      <c r="BR12" s="56"/>
      <c r="BS12" s="56" t="s">
        <v>0</v>
      </c>
      <c r="BT12" s="57"/>
      <c r="BU12" s="2">
        <f t="shared" si="33"/>
        <v>0</v>
      </c>
      <c r="BV12" s="97">
        <f t="shared" si="34"/>
        <v>3</v>
      </c>
      <c r="BW12" s="56"/>
      <c r="BX12" s="56" t="s">
        <v>0</v>
      </c>
      <c r="BY12" s="57"/>
      <c r="BZ12" s="2">
        <f t="shared" si="35"/>
        <v>0</v>
      </c>
      <c r="CA12" s="97">
        <f t="shared" si="36"/>
        <v>3</v>
      </c>
      <c r="CB12" s="19"/>
      <c r="CC12" s="1" t="s">
        <v>0</v>
      </c>
      <c r="CD12" s="20"/>
      <c r="CE12" s="2">
        <f t="shared" si="37"/>
        <v>0</v>
      </c>
    </row>
    <row r="13" spans="1:83" ht="13.5" hidden="1" customHeight="1" outlineLevel="1">
      <c r="A13" s="71">
        <v>46188.041666666664</v>
      </c>
      <c r="B13" s="32" t="s">
        <v>106</v>
      </c>
      <c r="C13" s="33" t="s">
        <v>107</v>
      </c>
      <c r="D13" s="43">
        <v>1</v>
      </c>
      <c r="E13" s="44" t="s">
        <v>0</v>
      </c>
      <c r="F13" s="43">
        <v>0</v>
      </c>
      <c r="G13">
        <f t="shared" si="0"/>
        <v>2</v>
      </c>
      <c r="H13" s="45"/>
      <c r="I13" s="97">
        <f t="shared" si="1"/>
        <v>3</v>
      </c>
      <c r="J13" s="56">
        <v>1</v>
      </c>
      <c r="K13" s="56" t="s">
        <v>0</v>
      </c>
      <c r="L13" s="57">
        <v>1</v>
      </c>
      <c r="M13" s="2">
        <f t="shared" si="18"/>
        <v>0</v>
      </c>
      <c r="N13" s="97">
        <f t="shared" si="2"/>
        <v>2</v>
      </c>
      <c r="O13" s="56">
        <v>2</v>
      </c>
      <c r="P13" s="56" t="s">
        <v>0</v>
      </c>
      <c r="Q13" s="57">
        <v>0</v>
      </c>
      <c r="R13" s="2">
        <f t="shared" si="19"/>
        <v>1</v>
      </c>
      <c r="S13" s="97">
        <f t="shared" si="3"/>
        <v>1</v>
      </c>
      <c r="T13" s="56">
        <v>1</v>
      </c>
      <c r="U13" s="56" t="s">
        <v>0</v>
      </c>
      <c r="V13" s="57">
        <v>3</v>
      </c>
      <c r="W13" s="2">
        <f t="shared" si="20"/>
        <v>0</v>
      </c>
      <c r="X13" s="97">
        <f t="shared" si="4"/>
        <v>2</v>
      </c>
      <c r="Y13" s="74">
        <v>2</v>
      </c>
      <c r="Z13" s="56" t="s">
        <v>0</v>
      </c>
      <c r="AA13" s="76">
        <v>0</v>
      </c>
      <c r="AB13" s="2">
        <f t="shared" si="21"/>
        <v>1</v>
      </c>
      <c r="AC13" s="97">
        <f t="shared" si="5"/>
        <v>2</v>
      </c>
      <c r="AD13" s="56">
        <v>2</v>
      </c>
      <c r="AE13" s="56" t="s">
        <v>0</v>
      </c>
      <c r="AF13" s="57">
        <v>1</v>
      </c>
      <c r="AG13" s="2">
        <f t="shared" si="22"/>
        <v>1</v>
      </c>
      <c r="AH13" s="97">
        <f t="shared" si="6"/>
        <v>2</v>
      </c>
      <c r="AI13" s="56">
        <v>1</v>
      </c>
      <c r="AJ13" s="56" t="s">
        <v>0</v>
      </c>
      <c r="AK13" s="57">
        <v>0</v>
      </c>
      <c r="AL13" s="2">
        <f t="shared" si="23"/>
        <v>3</v>
      </c>
      <c r="AM13" s="97">
        <f t="shared" si="7"/>
        <v>1</v>
      </c>
      <c r="AN13" s="56">
        <v>0</v>
      </c>
      <c r="AO13" s="56" t="s">
        <v>0</v>
      </c>
      <c r="AP13" s="57">
        <v>1</v>
      </c>
      <c r="AQ13" s="2">
        <f t="shared" si="24"/>
        <v>0</v>
      </c>
      <c r="AR13" s="97">
        <f t="shared" si="8"/>
        <v>1</v>
      </c>
      <c r="AS13" s="56">
        <v>0</v>
      </c>
      <c r="AT13" s="56" t="s">
        <v>0</v>
      </c>
      <c r="AU13" s="57">
        <v>2</v>
      </c>
      <c r="AV13" s="2">
        <f t="shared" si="25"/>
        <v>0</v>
      </c>
      <c r="AW13" s="97">
        <f t="shared" si="9"/>
        <v>1</v>
      </c>
      <c r="AX13" s="56">
        <v>0</v>
      </c>
      <c r="AY13" s="56" t="s">
        <v>0</v>
      </c>
      <c r="AZ13" s="57">
        <v>1</v>
      </c>
      <c r="BA13" s="2">
        <f t="shared" si="10"/>
        <v>0</v>
      </c>
      <c r="BB13" s="97">
        <f t="shared" si="26"/>
        <v>3</v>
      </c>
      <c r="BC13" s="56">
        <v>1</v>
      </c>
      <c r="BD13" s="56" t="s">
        <v>0</v>
      </c>
      <c r="BE13" s="57">
        <v>1</v>
      </c>
      <c r="BF13" s="2">
        <f t="shared" si="27"/>
        <v>0</v>
      </c>
      <c r="BG13" s="97">
        <f t="shared" si="28"/>
        <v>2</v>
      </c>
      <c r="BH13" s="56">
        <v>2</v>
      </c>
      <c r="BI13" s="56" t="s">
        <v>0</v>
      </c>
      <c r="BJ13" s="57">
        <v>0</v>
      </c>
      <c r="BK13" s="2">
        <f t="shared" si="29"/>
        <v>1</v>
      </c>
      <c r="BL13" s="97">
        <f t="shared" si="30"/>
        <v>1</v>
      </c>
      <c r="BM13" s="56">
        <v>0</v>
      </c>
      <c r="BN13" s="56" t="s">
        <v>0</v>
      </c>
      <c r="BO13" s="57">
        <v>1</v>
      </c>
      <c r="BP13" s="2">
        <f t="shared" si="31"/>
        <v>0</v>
      </c>
      <c r="BQ13" s="97">
        <f t="shared" si="32"/>
        <v>3</v>
      </c>
      <c r="BR13" s="56"/>
      <c r="BS13" s="56" t="s">
        <v>0</v>
      </c>
      <c r="BT13" s="57"/>
      <c r="BU13" s="2">
        <f t="shared" si="33"/>
        <v>0</v>
      </c>
      <c r="BV13" s="97">
        <f t="shared" si="34"/>
        <v>3</v>
      </c>
      <c r="BW13" s="56"/>
      <c r="BX13" s="56" t="s">
        <v>0</v>
      </c>
      <c r="BY13" s="57"/>
      <c r="BZ13" s="2">
        <f t="shared" si="35"/>
        <v>0</v>
      </c>
      <c r="CA13" s="97">
        <f t="shared" si="36"/>
        <v>3</v>
      </c>
      <c r="CB13" s="19"/>
      <c r="CC13" s="1" t="s">
        <v>0</v>
      </c>
      <c r="CD13" s="20"/>
      <c r="CE13" s="2">
        <f t="shared" si="37"/>
        <v>0</v>
      </c>
    </row>
    <row r="14" spans="1:83" ht="13.5" hidden="1" customHeight="1" outlineLevel="1">
      <c r="A14" s="71">
        <v>46188.166666666664</v>
      </c>
      <c r="B14" s="32" t="s">
        <v>108</v>
      </c>
      <c r="C14" s="33" t="s">
        <v>109</v>
      </c>
      <c r="D14" s="43">
        <v>5</v>
      </c>
      <c r="E14" s="44" t="s">
        <v>0</v>
      </c>
      <c r="F14" s="43">
        <v>1</v>
      </c>
      <c r="G14">
        <f t="shared" si="0"/>
        <v>2</v>
      </c>
      <c r="H14" s="45"/>
      <c r="I14" s="97">
        <f t="shared" si="1"/>
        <v>2</v>
      </c>
      <c r="J14" s="56">
        <v>2</v>
      </c>
      <c r="K14" s="56" t="s">
        <v>0</v>
      </c>
      <c r="L14" s="57">
        <v>1</v>
      </c>
      <c r="M14" s="2">
        <f t="shared" si="18"/>
        <v>1</v>
      </c>
      <c r="N14" s="97">
        <f t="shared" si="2"/>
        <v>2</v>
      </c>
      <c r="O14" s="56">
        <v>1</v>
      </c>
      <c r="P14" s="56" t="s">
        <v>0</v>
      </c>
      <c r="Q14" s="57">
        <v>0</v>
      </c>
      <c r="R14" s="2">
        <f t="shared" si="19"/>
        <v>1</v>
      </c>
      <c r="S14" s="97">
        <f t="shared" si="3"/>
        <v>2</v>
      </c>
      <c r="T14" s="56">
        <v>3</v>
      </c>
      <c r="U14" s="56" t="s">
        <v>0</v>
      </c>
      <c r="V14" s="57">
        <v>1</v>
      </c>
      <c r="W14" s="2">
        <f t="shared" si="20"/>
        <v>1</v>
      </c>
      <c r="X14" s="97">
        <f t="shared" si="4"/>
        <v>1</v>
      </c>
      <c r="Y14" s="74">
        <v>0</v>
      </c>
      <c r="Z14" s="56" t="s">
        <v>0</v>
      </c>
      <c r="AA14" s="76">
        <v>1</v>
      </c>
      <c r="AB14" s="2">
        <f t="shared" si="21"/>
        <v>0</v>
      </c>
      <c r="AC14" s="97">
        <f t="shared" si="5"/>
        <v>2</v>
      </c>
      <c r="AD14" s="56">
        <v>2</v>
      </c>
      <c r="AE14" s="56" t="s">
        <v>0</v>
      </c>
      <c r="AF14" s="57">
        <v>0</v>
      </c>
      <c r="AG14" s="2">
        <f t="shared" si="22"/>
        <v>1</v>
      </c>
      <c r="AH14" s="97">
        <f t="shared" si="6"/>
        <v>2</v>
      </c>
      <c r="AI14" s="56">
        <v>1</v>
      </c>
      <c r="AJ14" s="56" t="s">
        <v>0</v>
      </c>
      <c r="AK14" s="57">
        <v>0</v>
      </c>
      <c r="AL14" s="2">
        <f t="shared" si="23"/>
        <v>1</v>
      </c>
      <c r="AM14" s="97">
        <f t="shared" si="7"/>
        <v>2</v>
      </c>
      <c r="AN14" s="56">
        <v>3</v>
      </c>
      <c r="AO14" s="56" t="s">
        <v>0</v>
      </c>
      <c r="AP14" s="57">
        <v>1</v>
      </c>
      <c r="AQ14" s="2">
        <f t="shared" si="24"/>
        <v>1</v>
      </c>
      <c r="AR14" s="97">
        <f t="shared" si="8"/>
        <v>1</v>
      </c>
      <c r="AS14" s="56">
        <v>0</v>
      </c>
      <c r="AT14" s="56" t="s">
        <v>0</v>
      </c>
      <c r="AU14" s="57">
        <v>1</v>
      </c>
      <c r="AV14" s="2">
        <f t="shared" si="25"/>
        <v>0</v>
      </c>
      <c r="AW14" s="97">
        <f t="shared" si="9"/>
        <v>3</v>
      </c>
      <c r="AX14" s="56">
        <v>1</v>
      </c>
      <c r="AY14" s="56" t="s">
        <v>0</v>
      </c>
      <c r="AZ14" s="57">
        <v>1</v>
      </c>
      <c r="BA14" s="2">
        <f t="shared" si="10"/>
        <v>0</v>
      </c>
      <c r="BB14" s="97">
        <f t="shared" si="26"/>
        <v>2</v>
      </c>
      <c r="BC14" s="56">
        <v>2</v>
      </c>
      <c r="BD14" s="56" t="s">
        <v>0</v>
      </c>
      <c r="BE14" s="57">
        <v>0</v>
      </c>
      <c r="BF14" s="2">
        <f t="shared" si="27"/>
        <v>1</v>
      </c>
      <c r="BG14" s="97">
        <f t="shared" si="28"/>
        <v>2</v>
      </c>
      <c r="BH14" s="56">
        <v>1</v>
      </c>
      <c r="BI14" s="56" t="s">
        <v>0</v>
      </c>
      <c r="BJ14" s="57">
        <v>0</v>
      </c>
      <c r="BK14" s="2">
        <f t="shared" si="29"/>
        <v>1</v>
      </c>
      <c r="BL14" s="97">
        <f t="shared" si="30"/>
        <v>2</v>
      </c>
      <c r="BM14" s="56">
        <v>2</v>
      </c>
      <c r="BN14" s="56" t="s">
        <v>0</v>
      </c>
      <c r="BO14" s="57">
        <v>0</v>
      </c>
      <c r="BP14" s="2">
        <f t="shared" si="31"/>
        <v>1</v>
      </c>
      <c r="BQ14" s="97">
        <f t="shared" si="32"/>
        <v>3</v>
      </c>
      <c r="BR14" s="56"/>
      <c r="BS14" s="56" t="s">
        <v>0</v>
      </c>
      <c r="BT14" s="57"/>
      <c r="BU14" s="2">
        <f t="shared" si="33"/>
        <v>0</v>
      </c>
      <c r="BV14" s="97">
        <f t="shared" si="34"/>
        <v>3</v>
      </c>
      <c r="BW14" s="56"/>
      <c r="BX14" s="56" t="s">
        <v>0</v>
      </c>
      <c r="BY14" s="57"/>
      <c r="BZ14" s="2">
        <f t="shared" si="35"/>
        <v>0</v>
      </c>
      <c r="CA14" s="97">
        <f t="shared" si="36"/>
        <v>3</v>
      </c>
      <c r="CB14" s="19"/>
      <c r="CC14" s="1" t="s">
        <v>0</v>
      </c>
      <c r="CD14" s="20"/>
      <c r="CE14" s="2">
        <f t="shared" si="37"/>
        <v>0</v>
      </c>
    </row>
    <row r="15" spans="1:83" ht="13.5" hidden="1" customHeight="1" outlineLevel="1">
      <c r="A15" s="71">
        <v>46188.75</v>
      </c>
      <c r="B15" s="32" t="s">
        <v>91</v>
      </c>
      <c r="C15" s="33" t="s">
        <v>137</v>
      </c>
      <c r="D15" s="112">
        <v>0</v>
      </c>
      <c r="E15" s="44" t="s">
        <v>0</v>
      </c>
      <c r="F15" s="43">
        <v>0</v>
      </c>
      <c r="G15">
        <f t="shared" si="0"/>
        <v>3</v>
      </c>
      <c r="H15" s="45"/>
      <c r="I15" s="97">
        <f t="shared" si="1"/>
        <v>2</v>
      </c>
      <c r="J15" s="56">
        <v>3</v>
      </c>
      <c r="K15" s="56" t="s">
        <v>0</v>
      </c>
      <c r="L15" s="57">
        <v>0</v>
      </c>
      <c r="M15" s="2">
        <f t="shared" si="18"/>
        <v>0</v>
      </c>
      <c r="N15" s="97">
        <f t="shared" si="2"/>
        <v>3</v>
      </c>
      <c r="O15" s="56">
        <v>1</v>
      </c>
      <c r="P15" s="56" t="s">
        <v>0</v>
      </c>
      <c r="Q15" s="57">
        <v>1</v>
      </c>
      <c r="R15" s="2">
        <f t="shared" si="19"/>
        <v>1</v>
      </c>
      <c r="S15" s="97">
        <f t="shared" si="3"/>
        <v>2</v>
      </c>
      <c r="T15" s="56">
        <v>3</v>
      </c>
      <c r="U15" s="56" t="s">
        <v>0</v>
      </c>
      <c r="V15" s="57">
        <v>2</v>
      </c>
      <c r="W15" s="2">
        <f t="shared" si="20"/>
        <v>0</v>
      </c>
      <c r="X15" s="97">
        <f t="shared" si="4"/>
        <v>2</v>
      </c>
      <c r="Y15" s="74">
        <v>1</v>
      </c>
      <c r="Z15" s="56" t="s">
        <v>0</v>
      </c>
      <c r="AA15" s="76">
        <v>0</v>
      </c>
      <c r="AB15" s="2">
        <f t="shared" si="21"/>
        <v>0</v>
      </c>
      <c r="AC15" s="97">
        <f t="shared" si="5"/>
        <v>2</v>
      </c>
      <c r="AD15" s="56">
        <v>4</v>
      </c>
      <c r="AE15" s="56" t="s">
        <v>0</v>
      </c>
      <c r="AF15" s="57">
        <v>0</v>
      </c>
      <c r="AG15" s="2">
        <f t="shared" si="22"/>
        <v>0</v>
      </c>
      <c r="AH15" s="97">
        <f t="shared" si="6"/>
        <v>2</v>
      </c>
      <c r="AI15" s="56">
        <v>4</v>
      </c>
      <c r="AJ15" s="56" t="s">
        <v>0</v>
      </c>
      <c r="AK15" s="57">
        <v>0</v>
      </c>
      <c r="AL15" s="2">
        <f t="shared" si="23"/>
        <v>0</v>
      </c>
      <c r="AM15" s="97">
        <f t="shared" si="7"/>
        <v>2</v>
      </c>
      <c r="AN15" s="56">
        <v>5</v>
      </c>
      <c r="AO15" s="56" t="s">
        <v>0</v>
      </c>
      <c r="AP15" s="57">
        <v>0</v>
      </c>
      <c r="AQ15" s="2">
        <f t="shared" si="24"/>
        <v>0</v>
      </c>
      <c r="AR15" s="97">
        <f t="shared" si="8"/>
        <v>2</v>
      </c>
      <c r="AS15" s="56">
        <v>3</v>
      </c>
      <c r="AT15" s="56" t="s">
        <v>0</v>
      </c>
      <c r="AU15" s="57">
        <v>0</v>
      </c>
      <c r="AV15" s="2">
        <f t="shared" si="25"/>
        <v>0</v>
      </c>
      <c r="AW15" s="97">
        <f t="shared" si="9"/>
        <v>2</v>
      </c>
      <c r="AX15" s="56">
        <v>3</v>
      </c>
      <c r="AY15" s="56" t="s">
        <v>0</v>
      </c>
      <c r="AZ15" s="57">
        <v>0</v>
      </c>
      <c r="BA15" s="2">
        <f t="shared" si="10"/>
        <v>0</v>
      </c>
      <c r="BB15" s="97">
        <f t="shared" si="26"/>
        <v>2</v>
      </c>
      <c r="BC15" s="56">
        <v>2</v>
      </c>
      <c r="BD15" s="56" t="s">
        <v>0</v>
      </c>
      <c r="BE15" s="57">
        <v>0</v>
      </c>
      <c r="BF15" s="2">
        <f t="shared" si="27"/>
        <v>0</v>
      </c>
      <c r="BG15" s="97">
        <f t="shared" si="28"/>
        <v>2</v>
      </c>
      <c r="BH15" s="56">
        <v>4</v>
      </c>
      <c r="BI15" s="56" t="s">
        <v>0</v>
      </c>
      <c r="BJ15" s="57">
        <v>0</v>
      </c>
      <c r="BK15" s="2">
        <f t="shared" si="29"/>
        <v>0</v>
      </c>
      <c r="BL15" s="97">
        <f t="shared" si="30"/>
        <v>2</v>
      </c>
      <c r="BM15" s="56">
        <v>4</v>
      </c>
      <c r="BN15" s="56" t="s">
        <v>0</v>
      </c>
      <c r="BO15" s="57">
        <v>0</v>
      </c>
      <c r="BP15" s="2">
        <f t="shared" si="31"/>
        <v>0</v>
      </c>
      <c r="BQ15" s="97">
        <f t="shared" si="32"/>
        <v>3</v>
      </c>
      <c r="BR15" s="56"/>
      <c r="BS15" s="56" t="s">
        <v>0</v>
      </c>
      <c r="BT15" s="57"/>
      <c r="BU15" s="2">
        <f t="shared" si="33"/>
        <v>0</v>
      </c>
      <c r="BV15" s="97">
        <f t="shared" si="34"/>
        <v>3</v>
      </c>
      <c r="BW15" s="56"/>
      <c r="BX15" s="56" t="s">
        <v>0</v>
      </c>
      <c r="BY15" s="57"/>
      <c r="BZ15" s="2">
        <f t="shared" si="35"/>
        <v>0</v>
      </c>
      <c r="CA15" s="97">
        <f t="shared" si="36"/>
        <v>3</v>
      </c>
      <c r="CB15" s="19"/>
      <c r="CC15" s="1" t="s">
        <v>0</v>
      </c>
      <c r="CD15" s="20"/>
      <c r="CE15" s="2">
        <f t="shared" si="37"/>
        <v>0</v>
      </c>
    </row>
    <row r="16" spans="1:83" ht="13.8" hidden="1" outlineLevel="1">
      <c r="A16" s="71">
        <v>46188.875</v>
      </c>
      <c r="B16" s="32" t="s">
        <v>111</v>
      </c>
      <c r="C16" s="33" t="s">
        <v>112</v>
      </c>
      <c r="D16" s="43">
        <v>1</v>
      </c>
      <c r="E16" s="44" t="s">
        <v>0</v>
      </c>
      <c r="F16" s="43">
        <v>1</v>
      </c>
      <c r="G16">
        <f t="shared" si="0"/>
        <v>3</v>
      </c>
      <c r="H16" s="45"/>
      <c r="I16" s="97">
        <f t="shared" si="1"/>
        <v>2</v>
      </c>
      <c r="J16" s="56">
        <v>3</v>
      </c>
      <c r="K16" s="56" t="s">
        <v>0</v>
      </c>
      <c r="L16" s="57">
        <v>0</v>
      </c>
      <c r="M16" s="2">
        <f t="shared" ref="M16:M76" si="38">IF(OR(D16="",J16=""),0,IF((J16=D16)*(L16=F16),3,IF(I16=G16,1,0)))</f>
        <v>0</v>
      </c>
      <c r="N16" s="97">
        <f t="shared" si="2"/>
        <v>1</v>
      </c>
      <c r="O16" s="56">
        <v>0</v>
      </c>
      <c r="P16" s="56" t="s">
        <v>0</v>
      </c>
      <c r="Q16" s="57">
        <v>2</v>
      </c>
      <c r="R16" s="2">
        <f>IF(OR(D16="",O16=""),0,IF((O16=D16)*(Q16=F16),3,IF(N16=G16,1,0)))</f>
        <v>0</v>
      </c>
      <c r="S16" s="97">
        <f t="shared" si="3"/>
        <v>2</v>
      </c>
      <c r="T16" s="56">
        <v>3</v>
      </c>
      <c r="U16" s="56" t="s">
        <v>0</v>
      </c>
      <c r="V16" s="57">
        <v>0</v>
      </c>
      <c r="W16" s="2">
        <f>IF(OR(D16="",T16=""),0,IF((T16=D16)*(V16=F16),3,IF(S16=G16,1,0)))</f>
        <v>0</v>
      </c>
      <c r="X16" s="97">
        <f t="shared" si="4"/>
        <v>2</v>
      </c>
      <c r="Y16" s="74">
        <v>3</v>
      </c>
      <c r="Z16" s="56" t="s">
        <v>0</v>
      </c>
      <c r="AA16" s="76">
        <v>0</v>
      </c>
      <c r="AB16" s="2">
        <f t="shared" ref="AB16:AB76" si="39">IF(OR(D16="",Y16=""),0,IF((Y16=D16)*(AA16=F16),3,IF(X16=G16,1,0)))</f>
        <v>0</v>
      </c>
      <c r="AC16" s="97">
        <f t="shared" si="5"/>
        <v>2</v>
      </c>
      <c r="AD16" s="56">
        <v>2</v>
      </c>
      <c r="AE16" s="56" t="s">
        <v>0</v>
      </c>
      <c r="AF16" s="57">
        <v>0</v>
      </c>
      <c r="AG16" s="2">
        <f t="shared" ref="AG16:AG76" si="40">IF(OR(D16="",AD16=""),0,IF((AD16=D16)*(AF16=F16),3,IF(AC16=G16,1,0)))</f>
        <v>0</v>
      </c>
      <c r="AH16" s="97">
        <f t="shared" si="6"/>
        <v>2</v>
      </c>
      <c r="AI16" s="56">
        <v>2</v>
      </c>
      <c r="AJ16" s="56" t="s">
        <v>0</v>
      </c>
      <c r="AK16" s="57">
        <v>0</v>
      </c>
      <c r="AL16" s="2">
        <f t="shared" ref="AL16:AL76" si="41">IF(OR(D16="",AI16=""),0,IF((AI16=D16)*(AK16=F16),3,IF(AH16=G16,1,0)))</f>
        <v>0</v>
      </c>
      <c r="AM16" s="97">
        <f t="shared" si="7"/>
        <v>3</v>
      </c>
      <c r="AN16" s="56">
        <v>1</v>
      </c>
      <c r="AO16" s="56" t="s">
        <v>0</v>
      </c>
      <c r="AP16" s="57">
        <v>1</v>
      </c>
      <c r="AQ16" s="2">
        <f t="shared" ref="AQ16:AQ76" si="42">IF(OR(D16="",AN16=""),0,IF((AN16=D16)*(AP16=F16),3,IF(AM16=G16,1,0)))</f>
        <v>3</v>
      </c>
      <c r="AR16" s="97">
        <f t="shared" si="8"/>
        <v>2</v>
      </c>
      <c r="AS16" s="56">
        <v>2</v>
      </c>
      <c r="AT16" s="56" t="s">
        <v>0</v>
      </c>
      <c r="AU16" s="57">
        <v>1</v>
      </c>
      <c r="AV16" s="2">
        <f t="shared" ref="AV16:AV76" si="43">IF(OR(D16="",AS16=""),0,IF((AS16=D16)*(AU16=F16),3,IF(AR16=G16,1,0)))</f>
        <v>0</v>
      </c>
      <c r="AW16" s="97">
        <f t="shared" si="9"/>
        <v>2</v>
      </c>
      <c r="AX16" s="56">
        <v>2</v>
      </c>
      <c r="AY16" s="56" t="s">
        <v>0</v>
      </c>
      <c r="AZ16" s="57">
        <v>1</v>
      </c>
      <c r="BA16" s="2">
        <f t="shared" si="10"/>
        <v>0</v>
      </c>
      <c r="BB16" s="97">
        <f t="shared" si="11"/>
        <v>2</v>
      </c>
      <c r="BC16" s="56">
        <v>2</v>
      </c>
      <c r="BD16" s="56" t="s">
        <v>0</v>
      </c>
      <c r="BE16" s="57">
        <v>0</v>
      </c>
      <c r="BF16" s="2">
        <f t="shared" si="12"/>
        <v>0</v>
      </c>
      <c r="BG16" s="97">
        <f t="shared" si="13"/>
        <v>3</v>
      </c>
      <c r="BH16" s="56">
        <v>1</v>
      </c>
      <c r="BI16" s="56" t="s">
        <v>0</v>
      </c>
      <c r="BJ16" s="57">
        <v>1</v>
      </c>
      <c r="BK16" s="2">
        <f t="shared" ref="BK16:BK26" si="44">IF(OR(D16="",BH16=""),0,IF((BH16=D16)*(BJ16=F16),3,IF(BG16=G16,1,0)))</f>
        <v>3</v>
      </c>
      <c r="BL16" s="97">
        <f t="shared" si="14"/>
        <v>2</v>
      </c>
      <c r="BM16" s="56">
        <v>2</v>
      </c>
      <c r="BN16" s="56" t="s">
        <v>0</v>
      </c>
      <c r="BO16" s="57">
        <v>0</v>
      </c>
      <c r="BP16" s="2">
        <f t="shared" ref="BP16:BP26" si="45">IF(OR(D16="",BM16=""),0,IF((BM16=D16)*(BO16=F16),3,IF(BL16=G16,1,0)))</f>
        <v>0</v>
      </c>
      <c r="BQ16" s="97">
        <f t="shared" si="15"/>
        <v>3</v>
      </c>
      <c r="BR16" s="56"/>
      <c r="BS16" s="56" t="s">
        <v>0</v>
      </c>
      <c r="BT16" s="57"/>
      <c r="BU16" s="2">
        <f t="shared" ref="BU16:BU26" si="46">IF(OR(D16="",BR16=""),0,IF((BR16=D16)*(BT16=F16),3,IF(BQ16=G16,1,0)))</f>
        <v>0</v>
      </c>
      <c r="BV16" s="97">
        <f t="shared" si="16"/>
        <v>3</v>
      </c>
      <c r="BW16" s="56"/>
      <c r="BX16" s="56" t="s">
        <v>0</v>
      </c>
      <c r="BY16" s="57"/>
      <c r="BZ16" s="2">
        <f t="shared" ref="BZ16:BZ26" si="47">IF(OR(D16="",BW16=""),0,IF((BW16=D16)*(BY16=F16),3,IF(BV16=G16,1,0)))</f>
        <v>0</v>
      </c>
      <c r="CA16" s="97">
        <f t="shared" si="17"/>
        <v>3</v>
      </c>
      <c r="CB16" s="19"/>
      <c r="CC16" s="1" t="s">
        <v>0</v>
      </c>
      <c r="CD16" s="20"/>
      <c r="CE16" s="2">
        <f t="shared" ref="CE16:CE26" si="48">IF(OR(D16="",CB16=""),0,IF((CB16=D16)*(CD16=F16),3,IF(CA16=G16,1,0)))</f>
        <v>0</v>
      </c>
    </row>
    <row r="17" spans="1:83" ht="13.8" hidden="1" outlineLevel="1">
      <c r="A17" s="71">
        <v>46189</v>
      </c>
      <c r="B17" s="32" t="s">
        <v>113</v>
      </c>
      <c r="C17" s="33" t="s">
        <v>184</v>
      </c>
      <c r="D17" s="43">
        <v>1</v>
      </c>
      <c r="E17" s="44" t="s">
        <v>0</v>
      </c>
      <c r="F17" s="43">
        <v>1</v>
      </c>
      <c r="G17">
        <f t="shared" si="0"/>
        <v>3</v>
      </c>
      <c r="H17" s="45"/>
      <c r="I17" s="97">
        <f t="shared" si="1"/>
        <v>1</v>
      </c>
      <c r="J17" s="56">
        <v>0</v>
      </c>
      <c r="K17" s="56" t="s">
        <v>0</v>
      </c>
      <c r="L17" s="57">
        <v>1</v>
      </c>
      <c r="M17" s="2">
        <f t="shared" si="38"/>
        <v>0</v>
      </c>
      <c r="N17" s="97">
        <f t="shared" si="2"/>
        <v>2</v>
      </c>
      <c r="O17" s="56">
        <v>2</v>
      </c>
      <c r="P17" s="56" t="s">
        <v>0</v>
      </c>
      <c r="Q17" s="57">
        <v>1</v>
      </c>
      <c r="R17" s="2">
        <f t="shared" ref="R17:R76" si="49">IF(OR(D17="",O17=""),0,IF((O17=D17)*(Q17=F17),3,IF(N17=G17,1,0)))</f>
        <v>0</v>
      </c>
      <c r="S17" s="97">
        <f t="shared" si="3"/>
        <v>1</v>
      </c>
      <c r="T17" s="56">
        <v>2</v>
      </c>
      <c r="U17" s="56" t="s">
        <v>0</v>
      </c>
      <c r="V17" s="57">
        <v>3</v>
      </c>
      <c r="W17" s="2">
        <f t="shared" ref="W17:W76" si="50">IF(OR(D17="",T17=""),0,IF((T17=D17)*(V17=F17),3,IF(S17=G17,1,0)))</f>
        <v>0</v>
      </c>
      <c r="X17" s="97">
        <f t="shared" si="4"/>
        <v>3</v>
      </c>
      <c r="Y17" s="74">
        <v>2</v>
      </c>
      <c r="Z17" s="56" t="s">
        <v>0</v>
      </c>
      <c r="AA17" s="76">
        <v>2</v>
      </c>
      <c r="AB17" s="2">
        <f t="shared" si="39"/>
        <v>1</v>
      </c>
      <c r="AC17" s="97">
        <f t="shared" si="5"/>
        <v>1</v>
      </c>
      <c r="AD17" s="56">
        <v>0</v>
      </c>
      <c r="AE17" s="56" t="s">
        <v>0</v>
      </c>
      <c r="AF17" s="57">
        <v>1</v>
      </c>
      <c r="AG17" s="2">
        <f t="shared" si="40"/>
        <v>0</v>
      </c>
      <c r="AH17" s="97">
        <f t="shared" si="6"/>
        <v>1</v>
      </c>
      <c r="AI17" s="56">
        <v>0</v>
      </c>
      <c r="AJ17" s="56" t="s">
        <v>0</v>
      </c>
      <c r="AK17" s="57">
        <v>2</v>
      </c>
      <c r="AL17" s="2">
        <f t="shared" si="41"/>
        <v>0</v>
      </c>
      <c r="AM17" s="97">
        <f t="shared" si="7"/>
        <v>1</v>
      </c>
      <c r="AN17" s="56">
        <v>1</v>
      </c>
      <c r="AO17" s="56" t="s">
        <v>0</v>
      </c>
      <c r="AP17" s="57">
        <v>2</v>
      </c>
      <c r="AQ17" s="2">
        <f t="shared" si="42"/>
        <v>0</v>
      </c>
      <c r="AR17" s="97">
        <f t="shared" si="8"/>
        <v>1</v>
      </c>
      <c r="AS17" s="56">
        <v>0</v>
      </c>
      <c r="AT17" s="56" t="s">
        <v>0</v>
      </c>
      <c r="AU17" s="57">
        <v>2</v>
      </c>
      <c r="AV17" s="2">
        <f t="shared" si="43"/>
        <v>0</v>
      </c>
      <c r="AW17" s="97">
        <f t="shared" si="9"/>
        <v>1</v>
      </c>
      <c r="AX17" s="56">
        <v>0</v>
      </c>
      <c r="AY17" s="56" t="s">
        <v>0</v>
      </c>
      <c r="AZ17" s="57">
        <v>1</v>
      </c>
      <c r="BA17" s="2">
        <f t="shared" si="10"/>
        <v>0</v>
      </c>
      <c r="BB17" s="97">
        <f t="shared" si="11"/>
        <v>1</v>
      </c>
      <c r="BC17" s="56">
        <v>0</v>
      </c>
      <c r="BD17" s="56" t="s">
        <v>0</v>
      </c>
      <c r="BE17" s="57">
        <v>2</v>
      </c>
      <c r="BF17" s="2">
        <f t="shared" si="12"/>
        <v>0</v>
      </c>
      <c r="BG17" s="97">
        <f t="shared" si="13"/>
        <v>1</v>
      </c>
      <c r="BH17" s="56">
        <v>0</v>
      </c>
      <c r="BI17" s="56" t="s">
        <v>0</v>
      </c>
      <c r="BJ17" s="57">
        <v>2</v>
      </c>
      <c r="BK17" s="2">
        <f t="shared" si="44"/>
        <v>0</v>
      </c>
      <c r="BL17" s="97">
        <f t="shared" si="14"/>
        <v>1</v>
      </c>
      <c r="BM17" s="56">
        <v>0</v>
      </c>
      <c r="BN17" s="56" t="s">
        <v>0</v>
      </c>
      <c r="BO17" s="57">
        <v>2</v>
      </c>
      <c r="BP17" s="2">
        <f t="shared" si="45"/>
        <v>0</v>
      </c>
      <c r="BQ17" s="97">
        <f t="shared" si="15"/>
        <v>3</v>
      </c>
      <c r="BR17" s="56"/>
      <c r="BS17" s="56" t="s">
        <v>0</v>
      </c>
      <c r="BT17" s="57"/>
      <c r="BU17" s="2">
        <f t="shared" si="46"/>
        <v>0</v>
      </c>
      <c r="BV17" s="97">
        <f t="shared" si="16"/>
        <v>3</v>
      </c>
      <c r="BW17" s="56"/>
      <c r="BX17" s="56" t="s">
        <v>0</v>
      </c>
      <c r="BY17" s="57"/>
      <c r="BZ17" s="2">
        <f t="shared" si="47"/>
        <v>0</v>
      </c>
      <c r="CA17" s="97">
        <f t="shared" si="17"/>
        <v>3</v>
      </c>
      <c r="CB17" s="19"/>
      <c r="CC17" s="1" t="s">
        <v>0</v>
      </c>
      <c r="CD17" s="20"/>
      <c r="CE17" s="2">
        <f t="shared" si="48"/>
        <v>0</v>
      </c>
    </row>
    <row r="18" spans="1:83" ht="13.8" hidden="1" outlineLevel="1">
      <c r="A18" s="71">
        <v>46189.125</v>
      </c>
      <c r="B18" s="32" t="s">
        <v>80</v>
      </c>
      <c r="C18" s="33" t="s">
        <v>115</v>
      </c>
      <c r="D18" s="43">
        <v>2</v>
      </c>
      <c r="E18" s="44" t="s">
        <v>0</v>
      </c>
      <c r="F18" s="43">
        <v>2</v>
      </c>
      <c r="G18">
        <f t="shared" si="0"/>
        <v>3</v>
      </c>
      <c r="H18" s="45"/>
      <c r="I18" s="97">
        <f t="shared" si="1"/>
        <v>3</v>
      </c>
      <c r="J18" s="56">
        <v>1</v>
      </c>
      <c r="K18" s="56" t="s">
        <v>0</v>
      </c>
      <c r="L18" s="57">
        <v>1</v>
      </c>
      <c r="M18" s="2">
        <f t="shared" si="38"/>
        <v>1</v>
      </c>
      <c r="N18" s="97">
        <f t="shared" si="2"/>
        <v>2</v>
      </c>
      <c r="O18" s="56">
        <v>2</v>
      </c>
      <c r="P18" s="56" t="s">
        <v>0</v>
      </c>
      <c r="Q18" s="57">
        <v>0</v>
      </c>
      <c r="R18" s="2">
        <f t="shared" si="49"/>
        <v>0</v>
      </c>
      <c r="S18" s="97">
        <f t="shared" si="3"/>
        <v>2</v>
      </c>
      <c r="T18" s="56">
        <v>2</v>
      </c>
      <c r="U18" s="56" t="s">
        <v>0</v>
      </c>
      <c r="V18" s="57">
        <v>0</v>
      </c>
      <c r="W18" s="2">
        <f t="shared" si="50"/>
        <v>0</v>
      </c>
      <c r="X18" s="97">
        <f t="shared" si="4"/>
        <v>2</v>
      </c>
      <c r="Y18" s="74">
        <v>2</v>
      </c>
      <c r="Z18" s="56" t="s">
        <v>0</v>
      </c>
      <c r="AA18" s="76">
        <v>0</v>
      </c>
      <c r="AB18" s="2">
        <f t="shared" si="39"/>
        <v>0</v>
      </c>
      <c r="AC18" s="97">
        <f t="shared" si="5"/>
        <v>2</v>
      </c>
      <c r="AD18" s="56">
        <v>1</v>
      </c>
      <c r="AE18" s="56" t="s">
        <v>0</v>
      </c>
      <c r="AF18" s="57">
        <v>0</v>
      </c>
      <c r="AG18" s="2">
        <f t="shared" si="40"/>
        <v>0</v>
      </c>
      <c r="AH18" s="97">
        <f t="shared" si="6"/>
        <v>2</v>
      </c>
      <c r="AI18" s="56">
        <v>1</v>
      </c>
      <c r="AJ18" s="56" t="s">
        <v>0</v>
      </c>
      <c r="AK18" s="57">
        <v>0</v>
      </c>
      <c r="AL18" s="2">
        <f t="shared" si="41"/>
        <v>0</v>
      </c>
      <c r="AM18" s="97">
        <f t="shared" si="7"/>
        <v>2</v>
      </c>
      <c r="AN18" s="56">
        <v>2</v>
      </c>
      <c r="AO18" s="56" t="s">
        <v>0</v>
      </c>
      <c r="AP18" s="57">
        <v>1</v>
      </c>
      <c r="AQ18" s="2">
        <f t="shared" si="42"/>
        <v>0</v>
      </c>
      <c r="AR18" s="97">
        <f t="shared" si="8"/>
        <v>3</v>
      </c>
      <c r="AS18" s="56">
        <v>1</v>
      </c>
      <c r="AT18" s="56" t="s">
        <v>0</v>
      </c>
      <c r="AU18" s="57">
        <v>1</v>
      </c>
      <c r="AV18" s="2">
        <f t="shared" si="43"/>
        <v>1</v>
      </c>
      <c r="AW18" s="97">
        <f t="shared" si="9"/>
        <v>3</v>
      </c>
      <c r="AX18" s="56">
        <v>2</v>
      </c>
      <c r="AY18" s="56" t="s">
        <v>0</v>
      </c>
      <c r="AZ18" s="57">
        <v>2</v>
      </c>
      <c r="BA18" s="2">
        <f t="shared" si="10"/>
        <v>3</v>
      </c>
      <c r="BB18" s="97">
        <f t="shared" si="11"/>
        <v>3</v>
      </c>
      <c r="BC18" s="56">
        <v>0</v>
      </c>
      <c r="BD18" s="56" t="s">
        <v>0</v>
      </c>
      <c r="BE18" s="57">
        <v>0</v>
      </c>
      <c r="BF18" s="2">
        <f t="shared" si="12"/>
        <v>1</v>
      </c>
      <c r="BG18" s="97">
        <f t="shared" si="13"/>
        <v>2</v>
      </c>
      <c r="BH18" s="56">
        <v>2</v>
      </c>
      <c r="BI18" s="56" t="s">
        <v>0</v>
      </c>
      <c r="BJ18" s="57">
        <v>0</v>
      </c>
      <c r="BK18" s="2">
        <f t="shared" si="44"/>
        <v>0</v>
      </c>
      <c r="BL18" s="97">
        <f t="shared" si="14"/>
        <v>2</v>
      </c>
      <c r="BM18" s="56">
        <v>1</v>
      </c>
      <c r="BN18" s="56" t="s">
        <v>0</v>
      </c>
      <c r="BO18" s="57">
        <v>0</v>
      </c>
      <c r="BP18" s="2">
        <f t="shared" si="45"/>
        <v>0</v>
      </c>
      <c r="BQ18" s="97">
        <f t="shared" si="15"/>
        <v>3</v>
      </c>
      <c r="BR18" s="56"/>
      <c r="BS18" s="56" t="s">
        <v>0</v>
      </c>
      <c r="BT18" s="57"/>
      <c r="BU18" s="2">
        <f t="shared" si="46"/>
        <v>0</v>
      </c>
      <c r="BV18" s="97">
        <f t="shared" si="16"/>
        <v>3</v>
      </c>
      <c r="BW18" s="56"/>
      <c r="BX18" s="56" t="s">
        <v>0</v>
      </c>
      <c r="BY18" s="57"/>
      <c r="BZ18" s="2">
        <f t="shared" si="47"/>
        <v>0</v>
      </c>
      <c r="CA18" s="97">
        <f t="shared" si="17"/>
        <v>3</v>
      </c>
      <c r="CB18" s="19"/>
      <c r="CC18" s="1" t="s">
        <v>0</v>
      </c>
      <c r="CD18" s="20"/>
      <c r="CE18" s="2">
        <f t="shared" si="48"/>
        <v>0</v>
      </c>
    </row>
    <row r="19" spans="1:83" ht="13.8" hidden="1" outlineLevel="1">
      <c r="A19" s="71">
        <v>46189.875</v>
      </c>
      <c r="B19" s="32" t="s">
        <v>116</v>
      </c>
      <c r="C19" s="33" t="s">
        <v>85</v>
      </c>
      <c r="D19" s="43">
        <v>3</v>
      </c>
      <c r="E19" s="44" t="s">
        <v>0</v>
      </c>
      <c r="F19" s="43">
        <v>1</v>
      </c>
      <c r="G19">
        <f t="shared" si="0"/>
        <v>2</v>
      </c>
      <c r="H19" s="45"/>
      <c r="I19" s="97">
        <f t="shared" si="1"/>
        <v>2</v>
      </c>
      <c r="J19" s="56">
        <v>4</v>
      </c>
      <c r="K19" s="56" t="s">
        <v>0</v>
      </c>
      <c r="L19" s="57">
        <v>0</v>
      </c>
      <c r="M19" s="2">
        <f t="shared" si="38"/>
        <v>1</v>
      </c>
      <c r="N19" s="97">
        <f t="shared" si="2"/>
        <v>3</v>
      </c>
      <c r="O19" s="56">
        <v>1</v>
      </c>
      <c r="P19" s="56" t="s">
        <v>0</v>
      </c>
      <c r="Q19" s="57">
        <v>1</v>
      </c>
      <c r="R19" s="2">
        <f t="shared" si="49"/>
        <v>0</v>
      </c>
      <c r="S19" s="97">
        <f t="shared" si="3"/>
        <v>2</v>
      </c>
      <c r="T19" s="56">
        <v>6</v>
      </c>
      <c r="U19" s="56" t="s">
        <v>0</v>
      </c>
      <c r="V19" s="57">
        <v>1</v>
      </c>
      <c r="W19" s="2">
        <f t="shared" si="50"/>
        <v>1</v>
      </c>
      <c r="X19" s="97">
        <f t="shared" si="4"/>
        <v>2</v>
      </c>
      <c r="Y19" s="74">
        <v>2</v>
      </c>
      <c r="Z19" s="56" t="s">
        <v>0</v>
      </c>
      <c r="AA19" s="76">
        <v>0</v>
      </c>
      <c r="AB19" s="2">
        <f t="shared" si="39"/>
        <v>1</v>
      </c>
      <c r="AC19" s="97">
        <f t="shared" si="5"/>
        <v>2</v>
      </c>
      <c r="AD19" s="56">
        <v>2</v>
      </c>
      <c r="AE19" s="56" t="s">
        <v>0</v>
      </c>
      <c r="AF19" s="57">
        <v>0</v>
      </c>
      <c r="AG19" s="2">
        <f t="shared" si="40"/>
        <v>1</v>
      </c>
      <c r="AH19" s="97">
        <f t="shared" si="6"/>
        <v>2</v>
      </c>
      <c r="AI19" s="56">
        <v>3</v>
      </c>
      <c r="AJ19" s="56" t="s">
        <v>0</v>
      </c>
      <c r="AK19" s="57">
        <v>1</v>
      </c>
      <c r="AL19" s="2">
        <f t="shared" si="41"/>
        <v>3</v>
      </c>
      <c r="AM19" s="97">
        <f t="shared" si="7"/>
        <v>2</v>
      </c>
      <c r="AN19" s="56">
        <v>3</v>
      </c>
      <c r="AO19" s="56" t="s">
        <v>0</v>
      </c>
      <c r="AP19" s="57">
        <v>0</v>
      </c>
      <c r="AQ19" s="2">
        <f t="shared" si="42"/>
        <v>1</v>
      </c>
      <c r="AR19" s="97">
        <f t="shared" si="8"/>
        <v>2</v>
      </c>
      <c r="AS19" s="56">
        <v>2</v>
      </c>
      <c r="AT19" s="56" t="s">
        <v>0</v>
      </c>
      <c r="AU19" s="57">
        <v>0</v>
      </c>
      <c r="AV19" s="2">
        <f t="shared" si="43"/>
        <v>1</v>
      </c>
      <c r="AW19" s="97">
        <f t="shared" si="9"/>
        <v>2</v>
      </c>
      <c r="AX19" s="56">
        <v>2</v>
      </c>
      <c r="AY19" s="56" t="s">
        <v>0</v>
      </c>
      <c r="AZ19" s="57">
        <v>1</v>
      </c>
      <c r="BA19" s="2">
        <f t="shared" si="10"/>
        <v>1</v>
      </c>
      <c r="BB19" s="97">
        <f t="shared" si="11"/>
        <v>2</v>
      </c>
      <c r="BC19" s="56">
        <v>2</v>
      </c>
      <c r="BD19" s="56" t="s">
        <v>0</v>
      </c>
      <c r="BE19" s="57">
        <v>1</v>
      </c>
      <c r="BF19" s="2">
        <f t="shared" si="12"/>
        <v>1</v>
      </c>
      <c r="BG19" s="97">
        <f t="shared" si="13"/>
        <v>2</v>
      </c>
      <c r="BH19" s="56">
        <v>2</v>
      </c>
      <c r="BI19" s="56" t="s">
        <v>0</v>
      </c>
      <c r="BJ19" s="57">
        <v>0</v>
      </c>
      <c r="BK19" s="2">
        <f t="shared" si="44"/>
        <v>1</v>
      </c>
      <c r="BL19" s="97">
        <f t="shared" si="14"/>
        <v>2</v>
      </c>
      <c r="BM19" s="56">
        <v>2</v>
      </c>
      <c r="BN19" s="56" t="s">
        <v>0</v>
      </c>
      <c r="BO19" s="57">
        <v>1</v>
      </c>
      <c r="BP19" s="2">
        <f t="shared" si="45"/>
        <v>1</v>
      </c>
      <c r="BQ19" s="97">
        <f t="shared" si="15"/>
        <v>3</v>
      </c>
      <c r="BR19" s="56"/>
      <c r="BS19" s="56" t="s">
        <v>0</v>
      </c>
      <c r="BT19" s="57"/>
      <c r="BU19" s="2">
        <f t="shared" si="46"/>
        <v>0</v>
      </c>
      <c r="BV19" s="97">
        <f t="shared" si="16"/>
        <v>3</v>
      </c>
      <c r="BW19" s="56"/>
      <c r="BX19" s="56" t="s">
        <v>0</v>
      </c>
      <c r="BY19" s="57"/>
      <c r="BZ19" s="2">
        <f t="shared" si="47"/>
        <v>0</v>
      </c>
      <c r="CA19" s="97">
        <f t="shared" si="17"/>
        <v>3</v>
      </c>
      <c r="CB19" s="19"/>
      <c r="CC19" s="1" t="s">
        <v>0</v>
      </c>
      <c r="CD19" s="20"/>
      <c r="CE19" s="2">
        <f t="shared" si="48"/>
        <v>0</v>
      </c>
    </row>
    <row r="20" spans="1:83" ht="13.8" hidden="1" outlineLevel="1">
      <c r="A20" s="71">
        <v>46190</v>
      </c>
      <c r="B20" s="32" t="s">
        <v>117</v>
      </c>
      <c r="C20" s="33" t="s">
        <v>118</v>
      </c>
      <c r="D20" s="43">
        <v>1</v>
      </c>
      <c r="E20" s="44" t="s">
        <v>0</v>
      </c>
      <c r="F20" s="43">
        <v>4</v>
      </c>
      <c r="G20">
        <f t="shared" si="0"/>
        <v>1</v>
      </c>
      <c r="H20" s="45"/>
      <c r="I20" s="97">
        <f t="shared" si="1"/>
        <v>1</v>
      </c>
      <c r="J20" s="56">
        <v>0</v>
      </c>
      <c r="K20" s="56" t="s">
        <v>0</v>
      </c>
      <c r="L20" s="57">
        <v>3</v>
      </c>
      <c r="M20" s="2">
        <f t="shared" si="38"/>
        <v>1</v>
      </c>
      <c r="N20" s="97">
        <f t="shared" si="2"/>
        <v>2</v>
      </c>
      <c r="O20" s="56">
        <v>3</v>
      </c>
      <c r="P20" s="56" t="s">
        <v>0</v>
      </c>
      <c r="Q20" s="57">
        <v>2</v>
      </c>
      <c r="R20" s="2">
        <f t="shared" si="49"/>
        <v>0</v>
      </c>
      <c r="S20" s="97">
        <f t="shared" si="3"/>
        <v>1</v>
      </c>
      <c r="T20" s="56">
        <v>1</v>
      </c>
      <c r="U20" s="56" t="s">
        <v>0</v>
      </c>
      <c r="V20" s="57">
        <v>2</v>
      </c>
      <c r="W20" s="2">
        <f t="shared" si="50"/>
        <v>1</v>
      </c>
      <c r="X20" s="97">
        <f t="shared" si="4"/>
        <v>3</v>
      </c>
      <c r="Y20" s="74">
        <v>0</v>
      </c>
      <c r="Z20" s="56" t="s">
        <v>0</v>
      </c>
      <c r="AA20" s="76">
        <v>0</v>
      </c>
      <c r="AB20" s="2">
        <f t="shared" si="39"/>
        <v>0</v>
      </c>
      <c r="AC20" s="97">
        <f t="shared" si="5"/>
        <v>1</v>
      </c>
      <c r="AD20" s="56">
        <v>0</v>
      </c>
      <c r="AE20" s="56" t="s">
        <v>0</v>
      </c>
      <c r="AF20" s="57">
        <v>4</v>
      </c>
      <c r="AG20" s="2">
        <f t="shared" si="40"/>
        <v>1</v>
      </c>
      <c r="AH20" s="97">
        <f t="shared" si="6"/>
        <v>1</v>
      </c>
      <c r="AI20" s="56">
        <v>0</v>
      </c>
      <c r="AJ20" s="56" t="s">
        <v>0</v>
      </c>
      <c r="AK20" s="57">
        <v>5</v>
      </c>
      <c r="AL20" s="2">
        <f t="shared" si="41"/>
        <v>1</v>
      </c>
      <c r="AM20" s="97">
        <f t="shared" si="7"/>
        <v>1</v>
      </c>
      <c r="AN20" s="56">
        <v>0</v>
      </c>
      <c r="AO20" s="56" t="s">
        <v>0</v>
      </c>
      <c r="AP20" s="57">
        <v>4</v>
      </c>
      <c r="AQ20" s="2">
        <f t="shared" si="42"/>
        <v>1</v>
      </c>
      <c r="AR20" s="97">
        <f t="shared" si="8"/>
        <v>1</v>
      </c>
      <c r="AS20" s="56">
        <v>0</v>
      </c>
      <c r="AT20" s="56" t="s">
        <v>0</v>
      </c>
      <c r="AU20" s="57">
        <v>3</v>
      </c>
      <c r="AV20" s="2">
        <f t="shared" si="43"/>
        <v>1</v>
      </c>
      <c r="AW20" s="97">
        <f t="shared" si="9"/>
        <v>1</v>
      </c>
      <c r="AX20" s="56">
        <v>0</v>
      </c>
      <c r="AY20" s="56" t="s">
        <v>0</v>
      </c>
      <c r="AZ20" s="57">
        <v>2</v>
      </c>
      <c r="BA20" s="2">
        <f t="shared" si="10"/>
        <v>1</v>
      </c>
      <c r="BB20" s="97">
        <f t="shared" si="11"/>
        <v>1</v>
      </c>
      <c r="BC20" s="56">
        <v>0</v>
      </c>
      <c r="BD20" s="56" t="s">
        <v>0</v>
      </c>
      <c r="BE20" s="57">
        <v>1</v>
      </c>
      <c r="BF20" s="2">
        <f t="shared" si="12"/>
        <v>1</v>
      </c>
      <c r="BG20" s="97">
        <f t="shared" si="13"/>
        <v>1</v>
      </c>
      <c r="BH20" s="56">
        <v>0</v>
      </c>
      <c r="BI20" s="56" t="s">
        <v>0</v>
      </c>
      <c r="BJ20" s="57">
        <v>4</v>
      </c>
      <c r="BK20" s="2">
        <f t="shared" si="44"/>
        <v>1</v>
      </c>
      <c r="BL20" s="97">
        <f t="shared" si="14"/>
        <v>1</v>
      </c>
      <c r="BM20" s="56">
        <v>0</v>
      </c>
      <c r="BN20" s="56" t="s">
        <v>0</v>
      </c>
      <c r="BO20" s="57">
        <v>2</v>
      </c>
      <c r="BP20" s="2">
        <f t="shared" si="45"/>
        <v>1</v>
      </c>
      <c r="BQ20" s="97">
        <f t="shared" si="15"/>
        <v>3</v>
      </c>
      <c r="BR20" s="56"/>
      <c r="BS20" s="56" t="s">
        <v>0</v>
      </c>
      <c r="BT20" s="57"/>
      <c r="BU20" s="2">
        <f t="shared" si="46"/>
        <v>0</v>
      </c>
      <c r="BV20" s="97">
        <f t="shared" si="16"/>
        <v>3</v>
      </c>
      <c r="BW20" s="56"/>
      <c r="BX20" s="56" t="s">
        <v>0</v>
      </c>
      <c r="BY20" s="57"/>
      <c r="BZ20" s="2">
        <f t="shared" si="47"/>
        <v>0</v>
      </c>
      <c r="CA20" s="97">
        <f t="shared" si="17"/>
        <v>3</v>
      </c>
      <c r="CB20" s="19"/>
      <c r="CC20" s="1" t="s">
        <v>0</v>
      </c>
      <c r="CD20" s="20"/>
      <c r="CE20" s="2">
        <f t="shared" si="48"/>
        <v>0</v>
      </c>
    </row>
    <row r="21" spans="1:83" ht="13.8" hidden="1" outlineLevel="1">
      <c r="A21" s="71">
        <v>46190.125</v>
      </c>
      <c r="B21" s="32" t="s">
        <v>119</v>
      </c>
      <c r="C21" s="33" t="s">
        <v>120</v>
      </c>
      <c r="D21" s="43">
        <v>3</v>
      </c>
      <c r="E21" s="44" t="s">
        <v>0</v>
      </c>
      <c r="F21" s="43">
        <v>0</v>
      </c>
      <c r="G21">
        <f t="shared" ref="G21:G76" si="51">IF(F21=D21,3,IF(F21&lt;D21,2,IF(F21&gt;D21,1)))</f>
        <v>2</v>
      </c>
      <c r="H21" s="45"/>
      <c r="I21" s="97">
        <f t="shared" ref="I21:I76" si="52">IF(L21=J21,3,IF(L21&gt;J21,1,IF(L21&lt;J21,2)))</f>
        <v>2</v>
      </c>
      <c r="J21" s="56">
        <v>3</v>
      </c>
      <c r="K21" s="56" t="s">
        <v>0</v>
      </c>
      <c r="L21" s="57">
        <v>1</v>
      </c>
      <c r="M21" s="2">
        <f t="shared" si="38"/>
        <v>1</v>
      </c>
      <c r="N21" s="97">
        <f t="shared" si="2"/>
        <v>2</v>
      </c>
      <c r="O21" s="56">
        <v>2</v>
      </c>
      <c r="P21" s="56" t="s">
        <v>0</v>
      </c>
      <c r="Q21" s="57">
        <v>1</v>
      </c>
      <c r="R21" s="2">
        <f t="shared" si="49"/>
        <v>1</v>
      </c>
      <c r="S21" s="97">
        <f t="shared" si="3"/>
        <v>2</v>
      </c>
      <c r="T21" s="56">
        <v>3</v>
      </c>
      <c r="U21" s="56" t="s">
        <v>0</v>
      </c>
      <c r="V21" s="57">
        <v>1</v>
      </c>
      <c r="W21" s="2">
        <f t="shared" si="50"/>
        <v>1</v>
      </c>
      <c r="X21" s="97">
        <f t="shared" si="4"/>
        <v>2</v>
      </c>
      <c r="Y21" s="74">
        <v>3</v>
      </c>
      <c r="Z21" s="56" t="s">
        <v>0</v>
      </c>
      <c r="AA21" s="76">
        <v>0</v>
      </c>
      <c r="AB21" s="2">
        <f t="shared" si="39"/>
        <v>3</v>
      </c>
      <c r="AC21" s="97">
        <f t="shared" si="5"/>
        <v>2</v>
      </c>
      <c r="AD21" s="56">
        <v>3</v>
      </c>
      <c r="AE21" s="56" t="s">
        <v>0</v>
      </c>
      <c r="AF21" s="57">
        <v>0</v>
      </c>
      <c r="AG21" s="2">
        <f t="shared" si="40"/>
        <v>3</v>
      </c>
      <c r="AH21" s="97">
        <f t="shared" si="6"/>
        <v>2</v>
      </c>
      <c r="AI21" s="56">
        <v>3</v>
      </c>
      <c r="AJ21" s="56" t="s">
        <v>0</v>
      </c>
      <c r="AK21" s="57">
        <v>0</v>
      </c>
      <c r="AL21" s="2">
        <f t="shared" si="41"/>
        <v>3</v>
      </c>
      <c r="AM21" s="97">
        <f t="shared" si="7"/>
        <v>2</v>
      </c>
      <c r="AN21" s="56">
        <v>4</v>
      </c>
      <c r="AO21" s="56" t="s">
        <v>0</v>
      </c>
      <c r="AP21" s="57">
        <v>0</v>
      </c>
      <c r="AQ21" s="2">
        <f t="shared" si="42"/>
        <v>1</v>
      </c>
      <c r="AR21" s="97">
        <f t="shared" si="8"/>
        <v>2</v>
      </c>
      <c r="AS21" s="56">
        <v>3</v>
      </c>
      <c r="AT21" s="56" t="s">
        <v>0</v>
      </c>
      <c r="AU21" s="57">
        <v>0</v>
      </c>
      <c r="AV21" s="2">
        <f t="shared" si="43"/>
        <v>3</v>
      </c>
      <c r="AW21" s="97">
        <f t="shared" si="9"/>
        <v>3</v>
      </c>
      <c r="AX21" s="56">
        <v>1</v>
      </c>
      <c r="AY21" s="56" t="s">
        <v>0</v>
      </c>
      <c r="AZ21" s="57">
        <v>1</v>
      </c>
      <c r="BA21" s="2">
        <f t="shared" si="10"/>
        <v>0</v>
      </c>
      <c r="BB21" s="97">
        <f t="shared" si="11"/>
        <v>2</v>
      </c>
      <c r="BC21" s="56">
        <v>2</v>
      </c>
      <c r="BD21" s="56" t="s">
        <v>0</v>
      </c>
      <c r="BE21" s="57">
        <v>0</v>
      </c>
      <c r="BF21" s="2">
        <f t="shared" si="12"/>
        <v>1</v>
      </c>
      <c r="BG21" s="97">
        <f t="shared" si="13"/>
        <v>2</v>
      </c>
      <c r="BH21" s="56">
        <v>2</v>
      </c>
      <c r="BI21" s="56" t="s">
        <v>0</v>
      </c>
      <c r="BJ21" s="57">
        <v>1</v>
      </c>
      <c r="BK21" s="2">
        <f t="shared" si="44"/>
        <v>1</v>
      </c>
      <c r="BL21" s="97">
        <f t="shared" si="14"/>
        <v>2</v>
      </c>
      <c r="BM21" s="56">
        <v>2</v>
      </c>
      <c r="BN21" s="56" t="s">
        <v>0</v>
      </c>
      <c r="BO21" s="57">
        <v>0</v>
      </c>
      <c r="BP21" s="2">
        <f t="shared" si="45"/>
        <v>1</v>
      </c>
      <c r="BQ21" s="97">
        <f t="shared" si="15"/>
        <v>3</v>
      </c>
      <c r="BR21" s="56"/>
      <c r="BS21" s="56" t="s">
        <v>0</v>
      </c>
      <c r="BT21" s="57"/>
      <c r="BU21" s="2">
        <f t="shared" si="46"/>
        <v>0</v>
      </c>
      <c r="BV21" s="97">
        <f t="shared" si="16"/>
        <v>3</v>
      </c>
      <c r="BW21" s="56"/>
      <c r="BX21" s="56" t="s">
        <v>0</v>
      </c>
      <c r="BY21" s="57"/>
      <c r="BZ21" s="2">
        <f t="shared" si="47"/>
        <v>0</v>
      </c>
      <c r="CA21" s="97">
        <f t="shared" si="17"/>
        <v>3</v>
      </c>
      <c r="CB21" s="19"/>
      <c r="CC21" s="1" t="s">
        <v>0</v>
      </c>
      <c r="CD21" s="20"/>
      <c r="CE21" s="2">
        <f t="shared" si="48"/>
        <v>0</v>
      </c>
    </row>
    <row r="22" spans="1:83" ht="13.8" hidden="1" outlineLevel="1">
      <c r="A22" s="71">
        <v>46190.25</v>
      </c>
      <c r="B22" s="32" t="s">
        <v>81</v>
      </c>
      <c r="C22" s="33" t="s">
        <v>121</v>
      </c>
      <c r="D22" s="43">
        <v>3</v>
      </c>
      <c r="E22" s="44" t="s">
        <v>0</v>
      </c>
      <c r="F22" s="43">
        <v>1</v>
      </c>
      <c r="G22">
        <f t="shared" si="51"/>
        <v>2</v>
      </c>
      <c r="H22" s="45"/>
      <c r="I22" s="97">
        <f t="shared" si="52"/>
        <v>2</v>
      </c>
      <c r="J22" s="56">
        <v>2</v>
      </c>
      <c r="K22" s="56" t="s">
        <v>0</v>
      </c>
      <c r="L22" s="57">
        <v>0</v>
      </c>
      <c r="M22" s="2">
        <f t="shared" si="38"/>
        <v>1</v>
      </c>
      <c r="N22" s="97">
        <f t="shared" si="2"/>
        <v>2</v>
      </c>
      <c r="O22" s="56">
        <v>1</v>
      </c>
      <c r="P22" s="56" t="s">
        <v>0</v>
      </c>
      <c r="Q22" s="57">
        <v>0</v>
      </c>
      <c r="R22" s="2">
        <f t="shared" si="49"/>
        <v>1</v>
      </c>
      <c r="S22" s="97">
        <f t="shared" si="3"/>
        <v>2</v>
      </c>
      <c r="T22" s="56">
        <v>4</v>
      </c>
      <c r="U22" s="56" t="s">
        <v>0</v>
      </c>
      <c r="V22" s="57">
        <v>2</v>
      </c>
      <c r="W22" s="2">
        <f t="shared" si="50"/>
        <v>1</v>
      </c>
      <c r="X22" s="97">
        <f t="shared" si="4"/>
        <v>2</v>
      </c>
      <c r="Y22" s="74">
        <v>1</v>
      </c>
      <c r="Z22" s="56" t="s">
        <v>0</v>
      </c>
      <c r="AA22" s="76">
        <v>0</v>
      </c>
      <c r="AB22" s="2">
        <f t="shared" si="39"/>
        <v>1</v>
      </c>
      <c r="AC22" s="97">
        <f t="shared" si="5"/>
        <v>2</v>
      </c>
      <c r="AD22" s="56">
        <v>1</v>
      </c>
      <c r="AE22" s="56" t="s">
        <v>0</v>
      </c>
      <c r="AF22" s="57">
        <v>0</v>
      </c>
      <c r="AG22" s="2">
        <f t="shared" si="40"/>
        <v>1</v>
      </c>
      <c r="AH22" s="97">
        <f t="shared" si="6"/>
        <v>2</v>
      </c>
      <c r="AI22" s="56">
        <v>2</v>
      </c>
      <c r="AJ22" s="56" t="s">
        <v>0</v>
      </c>
      <c r="AK22" s="57">
        <v>0</v>
      </c>
      <c r="AL22" s="2">
        <f t="shared" si="41"/>
        <v>1</v>
      </c>
      <c r="AM22" s="97">
        <f t="shared" si="7"/>
        <v>2</v>
      </c>
      <c r="AN22" s="56">
        <v>2</v>
      </c>
      <c r="AO22" s="56" t="s">
        <v>0</v>
      </c>
      <c r="AP22" s="57">
        <v>1</v>
      </c>
      <c r="AQ22" s="2">
        <f t="shared" si="42"/>
        <v>1</v>
      </c>
      <c r="AR22" s="97">
        <f t="shared" si="8"/>
        <v>2</v>
      </c>
      <c r="AS22" s="56">
        <v>2</v>
      </c>
      <c r="AT22" s="56" t="s">
        <v>0</v>
      </c>
      <c r="AU22" s="57">
        <v>0</v>
      </c>
      <c r="AV22" s="2">
        <f t="shared" si="43"/>
        <v>1</v>
      </c>
      <c r="AW22" s="97">
        <f t="shared" si="9"/>
        <v>2</v>
      </c>
      <c r="AX22" s="56">
        <v>2</v>
      </c>
      <c r="AY22" s="56" t="s">
        <v>0</v>
      </c>
      <c r="AZ22" s="57">
        <v>1</v>
      </c>
      <c r="BA22" s="2">
        <f t="shared" si="10"/>
        <v>1</v>
      </c>
      <c r="BB22" s="97">
        <f t="shared" si="11"/>
        <v>2</v>
      </c>
      <c r="BC22" s="56">
        <v>2</v>
      </c>
      <c r="BD22" s="56" t="s">
        <v>0</v>
      </c>
      <c r="BE22" s="57">
        <v>0</v>
      </c>
      <c r="BF22" s="2">
        <f t="shared" si="12"/>
        <v>1</v>
      </c>
      <c r="BG22" s="97">
        <f t="shared" si="13"/>
        <v>2</v>
      </c>
      <c r="BH22" s="56">
        <v>3</v>
      </c>
      <c r="BI22" s="56" t="s">
        <v>0</v>
      </c>
      <c r="BJ22" s="57">
        <v>0</v>
      </c>
      <c r="BK22" s="2">
        <f t="shared" si="44"/>
        <v>1</v>
      </c>
      <c r="BL22" s="97">
        <f t="shared" si="14"/>
        <v>2</v>
      </c>
      <c r="BM22" s="56">
        <v>2</v>
      </c>
      <c r="BN22" s="56" t="s">
        <v>0</v>
      </c>
      <c r="BO22" s="57">
        <v>0</v>
      </c>
      <c r="BP22" s="2">
        <f t="shared" si="45"/>
        <v>1</v>
      </c>
      <c r="BQ22" s="97">
        <f t="shared" si="15"/>
        <v>3</v>
      </c>
      <c r="BR22" s="56"/>
      <c r="BS22" s="56" t="s">
        <v>0</v>
      </c>
      <c r="BT22" s="57"/>
      <c r="BU22" s="2">
        <f t="shared" si="46"/>
        <v>0</v>
      </c>
      <c r="BV22" s="97">
        <f t="shared" si="16"/>
        <v>3</v>
      </c>
      <c r="BW22" s="56"/>
      <c r="BX22" s="56" t="s">
        <v>0</v>
      </c>
      <c r="BY22" s="57"/>
      <c r="BZ22" s="2">
        <f t="shared" si="47"/>
        <v>0</v>
      </c>
      <c r="CA22" s="97">
        <f t="shared" si="17"/>
        <v>3</v>
      </c>
      <c r="CB22" s="19"/>
      <c r="CC22" s="1" t="s">
        <v>0</v>
      </c>
      <c r="CD22" s="20"/>
      <c r="CE22" s="2">
        <f t="shared" si="48"/>
        <v>0</v>
      </c>
    </row>
    <row r="23" spans="1:83" ht="13.8" hidden="1" outlineLevel="1">
      <c r="A23" s="71">
        <v>46190.791666666664</v>
      </c>
      <c r="B23" s="32" t="s">
        <v>122</v>
      </c>
      <c r="C23" s="33" t="s">
        <v>138</v>
      </c>
      <c r="D23" s="112">
        <v>1</v>
      </c>
      <c r="E23" s="44" t="s">
        <v>0</v>
      </c>
      <c r="F23" s="43">
        <v>1</v>
      </c>
      <c r="G23">
        <f t="shared" si="51"/>
        <v>3</v>
      </c>
      <c r="H23" s="45"/>
      <c r="I23" s="97">
        <f t="shared" si="52"/>
        <v>2</v>
      </c>
      <c r="J23" s="56">
        <v>3</v>
      </c>
      <c r="K23" s="56" t="s">
        <v>0</v>
      </c>
      <c r="L23" s="57">
        <v>0</v>
      </c>
      <c r="M23" s="2">
        <f t="shared" si="38"/>
        <v>0</v>
      </c>
      <c r="N23" s="97">
        <f t="shared" si="2"/>
        <v>2</v>
      </c>
      <c r="O23" s="56">
        <v>3</v>
      </c>
      <c r="P23" s="56" t="s">
        <v>0</v>
      </c>
      <c r="Q23" s="57">
        <v>0</v>
      </c>
      <c r="R23" s="2">
        <f t="shared" si="49"/>
        <v>0</v>
      </c>
      <c r="S23" s="97">
        <f t="shared" si="3"/>
        <v>2</v>
      </c>
      <c r="T23" s="56">
        <v>1</v>
      </c>
      <c r="U23" s="56" t="s">
        <v>0</v>
      </c>
      <c r="V23" s="57">
        <v>0</v>
      </c>
      <c r="W23" s="2">
        <f t="shared" si="50"/>
        <v>0</v>
      </c>
      <c r="X23" s="97">
        <f t="shared" si="4"/>
        <v>2</v>
      </c>
      <c r="Y23" s="74">
        <v>2</v>
      </c>
      <c r="Z23" s="56" t="s">
        <v>0</v>
      </c>
      <c r="AA23" s="76">
        <v>0</v>
      </c>
      <c r="AB23" s="2">
        <f t="shared" si="39"/>
        <v>0</v>
      </c>
      <c r="AC23" s="97">
        <f t="shared" si="5"/>
        <v>2</v>
      </c>
      <c r="AD23" s="56">
        <v>3</v>
      </c>
      <c r="AE23" s="56" t="s">
        <v>0</v>
      </c>
      <c r="AF23" s="57">
        <v>0</v>
      </c>
      <c r="AG23" s="2">
        <f t="shared" si="40"/>
        <v>0</v>
      </c>
      <c r="AH23" s="97">
        <f t="shared" si="6"/>
        <v>2</v>
      </c>
      <c r="AI23" s="56">
        <v>3</v>
      </c>
      <c r="AJ23" s="56" t="s">
        <v>0</v>
      </c>
      <c r="AK23" s="57">
        <v>0</v>
      </c>
      <c r="AL23" s="2">
        <f t="shared" si="41"/>
        <v>0</v>
      </c>
      <c r="AM23" s="97">
        <f t="shared" si="7"/>
        <v>2</v>
      </c>
      <c r="AN23" s="56">
        <v>5</v>
      </c>
      <c r="AO23" s="56" t="s">
        <v>0</v>
      </c>
      <c r="AP23" s="57">
        <v>0</v>
      </c>
      <c r="AQ23" s="2">
        <f t="shared" si="42"/>
        <v>0</v>
      </c>
      <c r="AR23" s="97">
        <f t="shared" si="8"/>
        <v>2</v>
      </c>
      <c r="AS23" s="56">
        <v>2</v>
      </c>
      <c r="AT23" s="56" t="s">
        <v>0</v>
      </c>
      <c r="AU23" s="57">
        <v>0</v>
      </c>
      <c r="AV23" s="2">
        <f t="shared" si="43"/>
        <v>0</v>
      </c>
      <c r="AW23" s="97">
        <f t="shared" si="9"/>
        <v>2</v>
      </c>
      <c r="AX23" s="56">
        <v>3</v>
      </c>
      <c r="AY23" s="56" t="s">
        <v>0</v>
      </c>
      <c r="AZ23" s="57">
        <v>0</v>
      </c>
      <c r="BA23" s="2">
        <f t="shared" si="10"/>
        <v>0</v>
      </c>
      <c r="BB23" s="97">
        <f t="shared" si="11"/>
        <v>2</v>
      </c>
      <c r="BC23" s="56">
        <v>3</v>
      </c>
      <c r="BD23" s="56" t="s">
        <v>0</v>
      </c>
      <c r="BE23" s="57">
        <v>0</v>
      </c>
      <c r="BF23" s="2">
        <f t="shared" si="12"/>
        <v>0</v>
      </c>
      <c r="BG23" s="97">
        <f t="shared" si="13"/>
        <v>2</v>
      </c>
      <c r="BH23" s="56">
        <v>3</v>
      </c>
      <c r="BI23" s="56" t="s">
        <v>0</v>
      </c>
      <c r="BJ23" s="57">
        <v>1</v>
      </c>
      <c r="BK23" s="2">
        <f t="shared" si="44"/>
        <v>0</v>
      </c>
      <c r="BL23" s="97">
        <f t="shared" si="14"/>
        <v>2</v>
      </c>
      <c r="BM23" s="56">
        <v>4</v>
      </c>
      <c r="BN23" s="56" t="s">
        <v>0</v>
      </c>
      <c r="BO23" s="57">
        <v>0</v>
      </c>
      <c r="BP23" s="2">
        <f t="shared" si="45"/>
        <v>0</v>
      </c>
      <c r="BQ23" s="97">
        <f t="shared" si="15"/>
        <v>3</v>
      </c>
      <c r="BR23" s="56"/>
      <c r="BS23" s="56" t="s">
        <v>0</v>
      </c>
      <c r="BT23" s="57"/>
      <c r="BU23" s="2">
        <f t="shared" si="46"/>
        <v>0</v>
      </c>
      <c r="BV23" s="97">
        <f t="shared" si="16"/>
        <v>3</v>
      </c>
      <c r="BW23" s="56"/>
      <c r="BX23" s="56" t="s">
        <v>0</v>
      </c>
      <c r="BY23" s="57"/>
      <c r="BZ23" s="2">
        <f t="shared" si="47"/>
        <v>0</v>
      </c>
      <c r="CA23" s="97">
        <f t="shared" si="17"/>
        <v>3</v>
      </c>
      <c r="CB23" s="19"/>
      <c r="CC23" s="1" t="s">
        <v>0</v>
      </c>
      <c r="CD23" s="20"/>
      <c r="CE23" s="2">
        <f t="shared" si="48"/>
        <v>0</v>
      </c>
    </row>
    <row r="24" spans="1:83" ht="13.8" hidden="1" outlineLevel="1">
      <c r="A24" s="71">
        <v>46190.916666666664</v>
      </c>
      <c r="B24" s="32" t="s">
        <v>124</v>
      </c>
      <c r="C24" s="33" t="s">
        <v>92</v>
      </c>
      <c r="D24" s="43">
        <v>4</v>
      </c>
      <c r="E24" s="44" t="s">
        <v>0</v>
      </c>
      <c r="F24" s="43">
        <v>2</v>
      </c>
      <c r="G24">
        <f t="shared" si="51"/>
        <v>2</v>
      </c>
      <c r="H24" s="45"/>
      <c r="I24" s="97">
        <f t="shared" si="52"/>
        <v>3</v>
      </c>
      <c r="J24" s="56">
        <v>1</v>
      </c>
      <c r="K24" s="56" t="s">
        <v>0</v>
      </c>
      <c r="L24" s="57">
        <v>1</v>
      </c>
      <c r="M24" s="2">
        <f t="shared" si="38"/>
        <v>0</v>
      </c>
      <c r="N24" s="97">
        <f t="shared" si="2"/>
        <v>2</v>
      </c>
      <c r="O24" s="56">
        <v>2</v>
      </c>
      <c r="P24" s="56" t="s">
        <v>0</v>
      </c>
      <c r="Q24" s="57">
        <v>0</v>
      </c>
      <c r="R24" s="2">
        <f t="shared" si="49"/>
        <v>1</v>
      </c>
      <c r="S24" s="97">
        <f t="shared" si="3"/>
        <v>3</v>
      </c>
      <c r="T24" s="56">
        <v>1</v>
      </c>
      <c r="U24" s="56" t="s">
        <v>0</v>
      </c>
      <c r="V24" s="57">
        <v>1</v>
      </c>
      <c r="W24" s="2">
        <f t="shared" si="50"/>
        <v>0</v>
      </c>
      <c r="X24" s="97">
        <f t="shared" si="4"/>
        <v>3</v>
      </c>
      <c r="Y24" s="74">
        <v>2</v>
      </c>
      <c r="Z24" s="56" t="s">
        <v>0</v>
      </c>
      <c r="AA24" s="76">
        <v>2</v>
      </c>
      <c r="AB24" s="2">
        <f t="shared" si="39"/>
        <v>0</v>
      </c>
      <c r="AC24" s="97">
        <f t="shared" si="5"/>
        <v>2</v>
      </c>
      <c r="AD24" s="56">
        <v>2</v>
      </c>
      <c r="AE24" s="56" t="s">
        <v>0</v>
      </c>
      <c r="AF24" s="57">
        <v>1</v>
      </c>
      <c r="AG24" s="2">
        <f t="shared" si="40"/>
        <v>1</v>
      </c>
      <c r="AH24" s="97">
        <f t="shared" si="6"/>
        <v>2</v>
      </c>
      <c r="AI24" s="56">
        <v>2</v>
      </c>
      <c r="AJ24" s="56" t="s">
        <v>0</v>
      </c>
      <c r="AK24" s="57">
        <v>1</v>
      </c>
      <c r="AL24" s="2">
        <f t="shared" si="41"/>
        <v>1</v>
      </c>
      <c r="AM24" s="97">
        <f t="shared" si="7"/>
        <v>2</v>
      </c>
      <c r="AN24" s="56">
        <v>2</v>
      </c>
      <c r="AO24" s="56" t="s">
        <v>0</v>
      </c>
      <c r="AP24" s="57">
        <v>1</v>
      </c>
      <c r="AQ24" s="2">
        <f t="shared" si="42"/>
        <v>1</v>
      </c>
      <c r="AR24" s="97">
        <f t="shared" si="8"/>
        <v>2</v>
      </c>
      <c r="AS24" s="56">
        <v>2</v>
      </c>
      <c r="AT24" s="56" t="s">
        <v>0</v>
      </c>
      <c r="AU24" s="57">
        <v>1</v>
      </c>
      <c r="AV24" s="2">
        <f t="shared" si="43"/>
        <v>1</v>
      </c>
      <c r="AW24" s="97">
        <f t="shared" si="9"/>
        <v>2</v>
      </c>
      <c r="AX24" s="56">
        <v>1</v>
      </c>
      <c r="AY24" s="56" t="s">
        <v>0</v>
      </c>
      <c r="AZ24" s="57">
        <v>0</v>
      </c>
      <c r="BA24" s="2">
        <f t="shared" si="10"/>
        <v>1</v>
      </c>
      <c r="BB24" s="97">
        <f t="shared" si="11"/>
        <v>2</v>
      </c>
      <c r="BC24" s="56">
        <v>2</v>
      </c>
      <c r="BD24" s="56" t="s">
        <v>0</v>
      </c>
      <c r="BE24" s="57">
        <v>1</v>
      </c>
      <c r="BF24" s="2">
        <f t="shared" si="12"/>
        <v>1</v>
      </c>
      <c r="BG24" s="97">
        <f t="shared" si="13"/>
        <v>3</v>
      </c>
      <c r="BH24" s="56">
        <v>1</v>
      </c>
      <c r="BI24" s="56" t="s">
        <v>0</v>
      </c>
      <c r="BJ24" s="57">
        <v>1</v>
      </c>
      <c r="BK24" s="2">
        <f t="shared" si="44"/>
        <v>0</v>
      </c>
      <c r="BL24" s="97">
        <f t="shared" si="14"/>
        <v>2</v>
      </c>
      <c r="BM24" s="56">
        <v>1</v>
      </c>
      <c r="BN24" s="56" t="s">
        <v>0</v>
      </c>
      <c r="BO24" s="57">
        <v>0</v>
      </c>
      <c r="BP24" s="2">
        <f t="shared" si="45"/>
        <v>1</v>
      </c>
      <c r="BQ24" s="97">
        <f t="shared" si="15"/>
        <v>3</v>
      </c>
      <c r="BR24" s="56"/>
      <c r="BS24" s="56" t="s">
        <v>0</v>
      </c>
      <c r="BT24" s="57"/>
      <c r="BU24" s="2">
        <f t="shared" si="46"/>
        <v>0</v>
      </c>
      <c r="BV24" s="97">
        <f t="shared" si="16"/>
        <v>3</v>
      </c>
      <c r="BW24" s="56"/>
      <c r="BX24" s="56" t="s">
        <v>0</v>
      </c>
      <c r="BY24" s="57"/>
      <c r="BZ24" s="2">
        <f t="shared" si="47"/>
        <v>0</v>
      </c>
      <c r="CA24" s="97">
        <f t="shared" si="17"/>
        <v>3</v>
      </c>
      <c r="CB24" s="19"/>
      <c r="CC24" s="1" t="s">
        <v>0</v>
      </c>
      <c r="CD24" s="20"/>
      <c r="CE24" s="2">
        <f t="shared" si="48"/>
        <v>0</v>
      </c>
    </row>
    <row r="25" spans="1:83" ht="13.8" hidden="1" outlineLevel="1">
      <c r="A25" s="71">
        <v>46191.041666666664</v>
      </c>
      <c r="B25" s="32" t="s">
        <v>83</v>
      </c>
      <c r="C25" s="33" t="s">
        <v>86</v>
      </c>
      <c r="D25" s="43">
        <v>1</v>
      </c>
      <c r="E25" s="44" t="s">
        <v>0</v>
      </c>
      <c r="F25" s="43">
        <v>0</v>
      </c>
      <c r="G25">
        <f t="shared" si="51"/>
        <v>2</v>
      </c>
      <c r="H25" s="45"/>
      <c r="I25" s="97">
        <f t="shared" si="52"/>
        <v>3</v>
      </c>
      <c r="J25" s="56">
        <v>1</v>
      </c>
      <c r="K25" s="56" t="s">
        <v>0</v>
      </c>
      <c r="L25" s="57">
        <v>1</v>
      </c>
      <c r="M25" s="2">
        <f t="shared" si="38"/>
        <v>0</v>
      </c>
      <c r="N25" s="97">
        <f t="shared" si="2"/>
        <v>3</v>
      </c>
      <c r="O25" s="56">
        <v>2</v>
      </c>
      <c r="P25" s="56" t="s">
        <v>0</v>
      </c>
      <c r="Q25" s="57">
        <v>2</v>
      </c>
      <c r="R25" s="2">
        <f t="shared" si="49"/>
        <v>0</v>
      </c>
      <c r="S25" s="97">
        <f t="shared" si="3"/>
        <v>2</v>
      </c>
      <c r="T25" s="56">
        <v>1</v>
      </c>
      <c r="U25" s="56" t="s">
        <v>0</v>
      </c>
      <c r="V25" s="57">
        <v>0</v>
      </c>
      <c r="W25" s="2">
        <f t="shared" si="50"/>
        <v>3</v>
      </c>
      <c r="X25" s="97">
        <f t="shared" si="4"/>
        <v>2</v>
      </c>
      <c r="Y25" s="74">
        <v>2</v>
      </c>
      <c r="Z25" s="56" t="s">
        <v>0</v>
      </c>
      <c r="AA25" s="76">
        <v>1</v>
      </c>
      <c r="AB25" s="2">
        <f t="shared" si="39"/>
        <v>1</v>
      </c>
      <c r="AC25" s="97">
        <f t="shared" si="5"/>
        <v>2</v>
      </c>
      <c r="AD25" s="56">
        <v>1</v>
      </c>
      <c r="AE25" s="56" t="s">
        <v>0</v>
      </c>
      <c r="AF25" s="57">
        <v>0</v>
      </c>
      <c r="AG25" s="2">
        <f t="shared" si="40"/>
        <v>3</v>
      </c>
      <c r="AH25" s="97">
        <f t="shared" si="6"/>
        <v>3</v>
      </c>
      <c r="AI25" s="56">
        <v>1</v>
      </c>
      <c r="AJ25" s="56" t="s">
        <v>0</v>
      </c>
      <c r="AK25" s="57">
        <v>1</v>
      </c>
      <c r="AL25" s="2">
        <f t="shared" si="41"/>
        <v>0</v>
      </c>
      <c r="AM25" s="97">
        <f t="shared" si="7"/>
        <v>2</v>
      </c>
      <c r="AN25" s="56">
        <v>1</v>
      </c>
      <c r="AO25" s="56" t="s">
        <v>0</v>
      </c>
      <c r="AP25" s="57">
        <v>0</v>
      </c>
      <c r="AQ25" s="2">
        <f t="shared" si="42"/>
        <v>3</v>
      </c>
      <c r="AR25" s="97">
        <f t="shared" si="8"/>
        <v>2</v>
      </c>
      <c r="AS25" s="56">
        <v>1</v>
      </c>
      <c r="AT25" s="56" t="s">
        <v>0</v>
      </c>
      <c r="AU25" s="57">
        <v>0</v>
      </c>
      <c r="AV25" s="2">
        <f t="shared" si="43"/>
        <v>3</v>
      </c>
      <c r="AW25" s="97">
        <f t="shared" si="9"/>
        <v>1</v>
      </c>
      <c r="AX25" s="56">
        <v>0</v>
      </c>
      <c r="AY25" s="56" t="s">
        <v>0</v>
      </c>
      <c r="AZ25" s="57">
        <v>1</v>
      </c>
      <c r="BA25" s="2">
        <f t="shared" si="10"/>
        <v>0</v>
      </c>
      <c r="BB25" s="97">
        <f t="shared" si="11"/>
        <v>3</v>
      </c>
      <c r="BC25" s="56">
        <v>1</v>
      </c>
      <c r="BD25" s="56" t="s">
        <v>0</v>
      </c>
      <c r="BE25" s="57">
        <v>1</v>
      </c>
      <c r="BF25" s="2">
        <f t="shared" si="12"/>
        <v>0</v>
      </c>
      <c r="BG25" s="97">
        <f t="shared" si="13"/>
        <v>2</v>
      </c>
      <c r="BH25" s="56">
        <v>2</v>
      </c>
      <c r="BI25" s="56" t="s">
        <v>0</v>
      </c>
      <c r="BJ25" s="57">
        <v>0</v>
      </c>
      <c r="BK25" s="2">
        <f t="shared" si="44"/>
        <v>1</v>
      </c>
      <c r="BL25" s="97">
        <f t="shared" si="14"/>
        <v>2</v>
      </c>
      <c r="BM25" s="56">
        <v>1</v>
      </c>
      <c r="BN25" s="56" t="s">
        <v>0</v>
      </c>
      <c r="BO25" s="57">
        <v>0</v>
      </c>
      <c r="BP25" s="2">
        <f t="shared" si="45"/>
        <v>3</v>
      </c>
      <c r="BQ25" s="97">
        <f t="shared" si="15"/>
        <v>3</v>
      </c>
      <c r="BR25" s="56"/>
      <c r="BS25" s="56" t="s">
        <v>0</v>
      </c>
      <c r="BT25" s="57"/>
      <c r="BU25" s="2">
        <f t="shared" si="46"/>
        <v>0</v>
      </c>
      <c r="BV25" s="97">
        <f t="shared" si="16"/>
        <v>3</v>
      </c>
      <c r="BW25" s="56"/>
      <c r="BX25" s="56" t="s">
        <v>0</v>
      </c>
      <c r="BY25" s="57"/>
      <c r="BZ25" s="2">
        <f t="shared" si="47"/>
        <v>0</v>
      </c>
      <c r="CA25" s="97">
        <f t="shared" si="17"/>
        <v>3</v>
      </c>
      <c r="CB25" s="19"/>
      <c r="CC25" s="1" t="s">
        <v>0</v>
      </c>
      <c r="CD25" s="20"/>
      <c r="CE25" s="2">
        <f t="shared" si="48"/>
        <v>0</v>
      </c>
    </row>
    <row r="26" spans="1:83" ht="14.4" hidden="1" outlineLevel="1" thickBot="1">
      <c r="A26" s="71">
        <v>46191.166666666664</v>
      </c>
      <c r="B26" s="32" t="s">
        <v>82</v>
      </c>
      <c r="C26" s="33" t="s">
        <v>125</v>
      </c>
      <c r="D26" s="43">
        <v>1</v>
      </c>
      <c r="E26" s="44" t="s">
        <v>0</v>
      </c>
      <c r="F26" s="43">
        <v>3</v>
      </c>
      <c r="G26">
        <f t="shared" si="51"/>
        <v>1</v>
      </c>
      <c r="H26" s="45"/>
      <c r="I26" s="97">
        <f t="shared" si="52"/>
        <v>1</v>
      </c>
      <c r="J26" s="56">
        <v>1</v>
      </c>
      <c r="K26" s="56" t="s">
        <v>0</v>
      </c>
      <c r="L26" s="57">
        <v>3</v>
      </c>
      <c r="M26" s="2">
        <f t="shared" si="38"/>
        <v>3</v>
      </c>
      <c r="N26" s="97">
        <f t="shared" si="2"/>
        <v>2</v>
      </c>
      <c r="O26" s="56">
        <v>1</v>
      </c>
      <c r="P26" s="56" t="s">
        <v>0</v>
      </c>
      <c r="Q26" s="57">
        <v>0</v>
      </c>
      <c r="R26" s="2">
        <f t="shared" si="49"/>
        <v>0</v>
      </c>
      <c r="S26" s="97">
        <f t="shared" si="3"/>
        <v>1</v>
      </c>
      <c r="T26" s="56">
        <v>0</v>
      </c>
      <c r="U26" s="56" t="s">
        <v>0</v>
      </c>
      <c r="V26" s="57">
        <v>1</v>
      </c>
      <c r="W26" s="2">
        <f t="shared" si="50"/>
        <v>1</v>
      </c>
      <c r="X26" s="97">
        <f t="shared" si="4"/>
        <v>3</v>
      </c>
      <c r="Y26" s="74">
        <v>1</v>
      </c>
      <c r="Z26" s="56" t="s">
        <v>0</v>
      </c>
      <c r="AA26" s="76">
        <v>1</v>
      </c>
      <c r="AB26" s="2">
        <f t="shared" si="39"/>
        <v>0</v>
      </c>
      <c r="AC26" s="97">
        <f t="shared" si="5"/>
        <v>1</v>
      </c>
      <c r="AD26" s="56">
        <v>0</v>
      </c>
      <c r="AE26" s="56" t="s">
        <v>0</v>
      </c>
      <c r="AF26" s="57">
        <v>1</v>
      </c>
      <c r="AG26" s="2">
        <f t="shared" si="40"/>
        <v>1</v>
      </c>
      <c r="AH26" s="97">
        <f t="shared" si="6"/>
        <v>1</v>
      </c>
      <c r="AI26" s="56">
        <v>0</v>
      </c>
      <c r="AJ26" s="56" t="s">
        <v>0</v>
      </c>
      <c r="AK26" s="57">
        <v>2</v>
      </c>
      <c r="AL26" s="2">
        <f t="shared" si="41"/>
        <v>1</v>
      </c>
      <c r="AM26" s="97">
        <f t="shared" si="7"/>
        <v>1</v>
      </c>
      <c r="AN26" s="56">
        <v>0</v>
      </c>
      <c r="AO26" s="56" t="s">
        <v>0</v>
      </c>
      <c r="AP26" s="57">
        <v>1</v>
      </c>
      <c r="AQ26" s="2">
        <f t="shared" si="42"/>
        <v>1</v>
      </c>
      <c r="AR26" s="97">
        <f t="shared" si="8"/>
        <v>2</v>
      </c>
      <c r="AS26" s="56">
        <v>1</v>
      </c>
      <c r="AT26" s="56" t="s">
        <v>0</v>
      </c>
      <c r="AU26" s="57">
        <v>0</v>
      </c>
      <c r="AV26" s="2">
        <f t="shared" si="43"/>
        <v>0</v>
      </c>
      <c r="AW26" s="97">
        <f t="shared" si="9"/>
        <v>1</v>
      </c>
      <c r="AX26" s="56">
        <v>0</v>
      </c>
      <c r="AY26" s="56" t="s">
        <v>0</v>
      </c>
      <c r="AZ26" s="57">
        <v>2</v>
      </c>
      <c r="BA26" s="2">
        <f t="shared" si="10"/>
        <v>1</v>
      </c>
      <c r="BB26" s="97">
        <f t="shared" si="11"/>
        <v>1</v>
      </c>
      <c r="BC26" s="56">
        <v>0</v>
      </c>
      <c r="BD26" s="56" t="s">
        <v>0</v>
      </c>
      <c r="BE26" s="57">
        <v>2</v>
      </c>
      <c r="BF26" s="2">
        <f t="shared" si="12"/>
        <v>1</v>
      </c>
      <c r="BG26" s="97">
        <f t="shared" si="13"/>
        <v>1</v>
      </c>
      <c r="BH26" s="56">
        <v>0</v>
      </c>
      <c r="BI26" s="56" t="s">
        <v>0</v>
      </c>
      <c r="BJ26" s="57">
        <v>1</v>
      </c>
      <c r="BK26" s="2">
        <f t="shared" si="44"/>
        <v>1</v>
      </c>
      <c r="BL26" s="97">
        <f t="shared" si="14"/>
        <v>2</v>
      </c>
      <c r="BM26" s="56">
        <v>2</v>
      </c>
      <c r="BN26" s="56" t="s">
        <v>0</v>
      </c>
      <c r="BO26" s="57">
        <v>1</v>
      </c>
      <c r="BP26" s="2">
        <f t="shared" si="45"/>
        <v>0</v>
      </c>
      <c r="BQ26" s="97">
        <f t="shared" si="15"/>
        <v>3</v>
      </c>
      <c r="BR26" s="56"/>
      <c r="BS26" s="56" t="s">
        <v>0</v>
      </c>
      <c r="BT26" s="57"/>
      <c r="BU26" s="2">
        <f t="shared" si="46"/>
        <v>0</v>
      </c>
      <c r="BV26" s="97">
        <f t="shared" si="16"/>
        <v>3</v>
      </c>
      <c r="BW26" s="56"/>
      <c r="BX26" s="56" t="s">
        <v>0</v>
      </c>
      <c r="BY26" s="57"/>
      <c r="BZ26" s="2">
        <f t="shared" si="47"/>
        <v>0</v>
      </c>
      <c r="CA26" s="97">
        <f t="shared" si="17"/>
        <v>3</v>
      </c>
      <c r="CB26" s="19"/>
      <c r="CC26" s="1" t="s">
        <v>0</v>
      </c>
      <c r="CD26" s="20"/>
      <c r="CE26" s="2">
        <f t="shared" si="48"/>
        <v>0</v>
      </c>
    </row>
    <row r="27" spans="1:83" ht="12.75" customHeight="1" collapsed="1" thickBot="1">
      <c r="A27" s="72" t="s">
        <v>10</v>
      </c>
      <c r="B27" s="48"/>
      <c r="C27" s="49"/>
      <c r="D27" s="50"/>
      <c r="E27" s="51"/>
      <c r="F27" s="50"/>
      <c r="G27" s="46"/>
      <c r="H27" s="46"/>
      <c r="I27" s="98"/>
      <c r="J27" s="58"/>
      <c r="K27" s="58"/>
      <c r="L27" s="59"/>
      <c r="M27" s="52"/>
      <c r="N27" s="98"/>
      <c r="O27" s="58"/>
      <c r="P27" s="58"/>
      <c r="Q27" s="59"/>
      <c r="R27" s="52"/>
      <c r="S27" s="98"/>
      <c r="T27" s="58"/>
      <c r="U27" s="58"/>
      <c r="V27" s="59"/>
      <c r="W27" s="52"/>
      <c r="X27" s="98"/>
      <c r="Y27" s="75"/>
      <c r="Z27" s="58"/>
      <c r="AA27" s="77"/>
      <c r="AB27" s="52"/>
      <c r="AC27" s="98"/>
      <c r="AD27" s="58"/>
      <c r="AE27" s="58"/>
      <c r="AF27" s="59"/>
      <c r="AG27" s="52"/>
      <c r="AH27" s="98"/>
      <c r="AI27" s="58"/>
      <c r="AJ27" s="58"/>
      <c r="AK27" s="59"/>
      <c r="AL27" s="52"/>
      <c r="AM27" s="98"/>
      <c r="AN27" s="58"/>
      <c r="AO27" s="58"/>
      <c r="AP27" s="59"/>
      <c r="AQ27" s="52"/>
      <c r="AR27" s="98"/>
      <c r="AS27" s="58"/>
      <c r="AT27" s="58"/>
      <c r="AU27" s="59"/>
      <c r="AV27" s="52"/>
      <c r="AW27" s="98"/>
      <c r="AX27" s="58"/>
      <c r="AY27" s="58"/>
      <c r="AZ27" s="59"/>
      <c r="BA27" s="52"/>
      <c r="BB27" s="98"/>
      <c r="BC27" s="58"/>
      <c r="BD27" s="58"/>
      <c r="BE27" s="59"/>
      <c r="BF27" s="52"/>
      <c r="BG27" s="98"/>
      <c r="BH27" s="62"/>
      <c r="BI27" s="62"/>
      <c r="BJ27" s="63"/>
      <c r="BK27" s="52"/>
      <c r="BL27" s="98"/>
      <c r="BM27" s="58"/>
      <c r="BN27" s="58"/>
      <c r="BO27" s="59"/>
      <c r="BP27" s="52"/>
      <c r="BQ27" s="98"/>
      <c r="BR27" s="58"/>
      <c r="BS27" s="58"/>
      <c r="BT27" s="59"/>
      <c r="BU27" s="52"/>
      <c r="BV27" s="98"/>
      <c r="BW27" s="58"/>
      <c r="BX27" s="58"/>
      <c r="BY27" s="59"/>
      <c r="BZ27" s="52"/>
      <c r="CA27" s="98"/>
      <c r="CB27" s="53"/>
      <c r="CC27" s="51"/>
      <c r="CD27" s="54"/>
      <c r="CE27" s="52"/>
    </row>
    <row r="28" spans="1:83" ht="16.5" hidden="1" customHeight="1" outlineLevel="1">
      <c r="A28" s="71">
        <v>46191.75</v>
      </c>
      <c r="B28" s="40" t="s">
        <v>96</v>
      </c>
      <c r="C28" s="41" t="s">
        <v>136</v>
      </c>
      <c r="D28" s="112">
        <v>1</v>
      </c>
      <c r="E28" s="44" t="s">
        <v>0</v>
      </c>
      <c r="F28" s="43">
        <v>1</v>
      </c>
      <c r="G28">
        <f t="shared" si="51"/>
        <v>3</v>
      </c>
      <c r="H28" s="45"/>
      <c r="I28" s="97">
        <f t="shared" si="52"/>
        <v>2</v>
      </c>
      <c r="J28" s="56">
        <v>2</v>
      </c>
      <c r="K28" s="56" t="s">
        <v>0</v>
      </c>
      <c r="L28" s="57">
        <v>1</v>
      </c>
      <c r="M28" s="13">
        <f t="shared" si="38"/>
        <v>0</v>
      </c>
      <c r="N28" s="97">
        <f t="shared" si="2"/>
        <v>3</v>
      </c>
      <c r="O28" s="56">
        <v>0</v>
      </c>
      <c r="P28" s="56" t="s">
        <v>0</v>
      </c>
      <c r="Q28" s="57">
        <v>0</v>
      </c>
      <c r="R28" s="13">
        <f t="shared" si="49"/>
        <v>1</v>
      </c>
      <c r="S28" s="97">
        <f t="shared" si="3"/>
        <v>2</v>
      </c>
      <c r="T28" s="56">
        <v>1</v>
      </c>
      <c r="U28" s="56" t="s">
        <v>0</v>
      </c>
      <c r="V28" s="57">
        <v>0</v>
      </c>
      <c r="W28" s="13">
        <f t="shared" si="50"/>
        <v>0</v>
      </c>
      <c r="X28" s="97">
        <f t="shared" si="4"/>
        <v>3</v>
      </c>
      <c r="Y28" s="74">
        <v>1</v>
      </c>
      <c r="Z28" s="56" t="s">
        <v>0</v>
      </c>
      <c r="AA28" s="76">
        <v>1</v>
      </c>
      <c r="AB28" s="13">
        <f t="shared" si="39"/>
        <v>3</v>
      </c>
      <c r="AC28" s="97">
        <f t="shared" si="5"/>
        <v>2</v>
      </c>
      <c r="AD28" s="56">
        <v>1</v>
      </c>
      <c r="AE28" s="56" t="s">
        <v>0</v>
      </c>
      <c r="AF28" s="57">
        <v>0</v>
      </c>
      <c r="AG28" s="13">
        <f t="shared" si="40"/>
        <v>0</v>
      </c>
      <c r="AH28" s="97">
        <f t="shared" si="6"/>
        <v>1</v>
      </c>
      <c r="AI28" s="56">
        <v>0</v>
      </c>
      <c r="AJ28" s="56" t="s">
        <v>0</v>
      </c>
      <c r="AK28" s="57">
        <v>1</v>
      </c>
      <c r="AL28" s="13">
        <f t="shared" si="41"/>
        <v>0</v>
      </c>
      <c r="AM28" s="97">
        <f t="shared" si="7"/>
        <v>1</v>
      </c>
      <c r="AN28" s="56">
        <v>1</v>
      </c>
      <c r="AO28" s="56" t="s">
        <v>0</v>
      </c>
      <c r="AP28" s="57">
        <v>2</v>
      </c>
      <c r="AQ28" s="13">
        <f t="shared" si="42"/>
        <v>0</v>
      </c>
      <c r="AR28" s="97">
        <f t="shared" si="8"/>
        <v>3</v>
      </c>
      <c r="AS28" s="56">
        <v>1</v>
      </c>
      <c r="AT28" s="56" t="s">
        <v>0</v>
      </c>
      <c r="AU28" s="57">
        <v>1</v>
      </c>
      <c r="AV28" s="13">
        <f t="shared" si="43"/>
        <v>3</v>
      </c>
      <c r="AW28" s="97">
        <f t="shared" si="9"/>
        <v>2</v>
      </c>
      <c r="AX28" s="56">
        <v>1</v>
      </c>
      <c r="AY28" s="56" t="s">
        <v>0</v>
      </c>
      <c r="AZ28" s="57">
        <v>0</v>
      </c>
      <c r="BA28" s="13">
        <f t="shared" ref="BA28:BA51" si="53">IF(OR(D28="",AX28=""),0,IF((AX28=D28)*(AZ28=F28),3,IF(AW28=G28,1,0)))</f>
        <v>0</v>
      </c>
      <c r="BB28" s="97">
        <f t="shared" si="11"/>
        <v>2</v>
      </c>
      <c r="BC28" s="56">
        <v>2</v>
      </c>
      <c r="BD28" s="56" t="s">
        <v>0</v>
      </c>
      <c r="BE28" s="57">
        <v>0</v>
      </c>
      <c r="BF28" s="13">
        <f t="shared" ref="BF28" si="54">IF(OR(D28="",BC28=""),0,IF((BC28=D28)*(BE28=F28),3,IF(BB28=G28,1,0)))</f>
        <v>0</v>
      </c>
      <c r="BG28" s="97">
        <f t="shared" si="13"/>
        <v>3</v>
      </c>
      <c r="BH28" s="64">
        <v>1</v>
      </c>
      <c r="BI28" s="64" t="s">
        <v>0</v>
      </c>
      <c r="BJ28" s="65">
        <v>1</v>
      </c>
      <c r="BK28" s="13">
        <f>IF(OR(D28="",BH28=""),0,IF((BH28=D28)*(BJ28=F28),3,IF(BG28=G28,1,0)))</f>
        <v>3</v>
      </c>
      <c r="BL28" s="97">
        <f t="shared" si="14"/>
        <v>2</v>
      </c>
      <c r="BM28" s="56">
        <v>2</v>
      </c>
      <c r="BN28" s="56" t="s">
        <v>0</v>
      </c>
      <c r="BO28" s="57">
        <v>0</v>
      </c>
      <c r="BP28" s="13">
        <f>IF(OR(D28="",BM28=""),0,IF((BM28=D28)*(BO28=F28),3,IF(BL28=G28,1,0)))</f>
        <v>0</v>
      </c>
      <c r="BQ28" s="97">
        <f t="shared" si="15"/>
        <v>3</v>
      </c>
      <c r="BR28" s="56"/>
      <c r="BS28" s="56" t="s">
        <v>0</v>
      </c>
      <c r="BT28" s="57"/>
      <c r="BU28" s="13">
        <f>IF(OR(D28="",BR28=""),0,IF((BR28=D28)*(BT28=F28),3,IF(BQ28=G28,1,0)))</f>
        <v>0</v>
      </c>
      <c r="BV28" s="97">
        <f t="shared" si="16"/>
        <v>3</v>
      </c>
      <c r="BW28" s="56"/>
      <c r="BX28" s="56" t="s">
        <v>0</v>
      </c>
      <c r="BY28" s="57"/>
      <c r="BZ28" s="13">
        <f>IF(OR(D28="",BW28=""),0,IF((BW28=D28)*(BY28=F28),3,IF(BV28=G28,1,0)))</f>
        <v>0</v>
      </c>
      <c r="CA28" s="97">
        <f t="shared" si="17"/>
        <v>3</v>
      </c>
      <c r="CB28" s="25"/>
      <c r="CC28" s="12" t="s">
        <v>0</v>
      </c>
      <c r="CD28" s="26"/>
      <c r="CE28" s="13">
        <f>IF(OR(D28="",CB28=""),0,IF((CB28=D28)*(CD28=F28),3,IF(CA28=G28,1,0)))</f>
        <v>0</v>
      </c>
    </row>
    <row r="29" spans="1:83" ht="13.8" hidden="1" outlineLevel="1">
      <c r="A29" s="71">
        <v>46191.875</v>
      </c>
      <c r="B29" s="40" t="s">
        <v>87</v>
      </c>
      <c r="C29" s="41" t="s">
        <v>98</v>
      </c>
      <c r="D29" s="43">
        <v>4</v>
      </c>
      <c r="E29" s="44" t="s">
        <v>0</v>
      </c>
      <c r="F29" s="43">
        <v>1</v>
      </c>
      <c r="G29">
        <f t="shared" si="51"/>
        <v>2</v>
      </c>
      <c r="H29" s="45"/>
      <c r="I29" s="97">
        <f t="shared" si="52"/>
        <v>3</v>
      </c>
      <c r="J29" s="56">
        <v>1</v>
      </c>
      <c r="K29" s="56" t="s">
        <v>0</v>
      </c>
      <c r="L29" s="57">
        <v>1</v>
      </c>
      <c r="M29" s="2">
        <f t="shared" si="38"/>
        <v>0</v>
      </c>
      <c r="N29" s="97">
        <f t="shared" si="2"/>
        <v>2</v>
      </c>
      <c r="O29" s="56">
        <v>2</v>
      </c>
      <c r="P29" s="56" t="s">
        <v>0</v>
      </c>
      <c r="Q29" s="57">
        <v>1</v>
      </c>
      <c r="R29" s="2">
        <f t="shared" si="49"/>
        <v>1</v>
      </c>
      <c r="S29" s="97">
        <f t="shared" si="3"/>
        <v>2</v>
      </c>
      <c r="T29" s="56">
        <v>2</v>
      </c>
      <c r="U29" s="56" t="s">
        <v>0</v>
      </c>
      <c r="V29" s="57">
        <v>1</v>
      </c>
      <c r="W29" s="2">
        <f t="shared" si="50"/>
        <v>1</v>
      </c>
      <c r="X29" s="97">
        <f t="shared" si="4"/>
        <v>3</v>
      </c>
      <c r="Y29" s="74">
        <v>0</v>
      </c>
      <c r="Z29" s="56" t="s">
        <v>0</v>
      </c>
      <c r="AA29" s="76">
        <v>0</v>
      </c>
      <c r="AB29" s="2">
        <f t="shared" si="39"/>
        <v>0</v>
      </c>
      <c r="AC29" s="97">
        <f t="shared" si="5"/>
        <v>2</v>
      </c>
      <c r="AD29" s="56">
        <v>2</v>
      </c>
      <c r="AE29" s="56" t="s">
        <v>0</v>
      </c>
      <c r="AF29" s="57">
        <v>1</v>
      </c>
      <c r="AG29" s="2">
        <f t="shared" si="40"/>
        <v>1</v>
      </c>
      <c r="AH29" s="97">
        <f t="shared" si="6"/>
        <v>3</v>
      </c>
      <c r="AI29" s="56">
        <v>1</v>
      </c>
      <c r="AJ29" s="56" t="s">
        <v>0</v>
      </c>
      <c r="AK29" s="57">
        <v>1</v>
      </c>
      <c r="AL29" s="2">
        <f t="shared" si="41"/>
        <v>0</v>
      </c>
      <c r="AM29" s="97">
        <f t="shared" si="7"/>
        <v>3</v>
      </c>
      <c r="AN29" s="56">
        <v>2</v>
      </c>
      <c r="AO29" s="56" t="s">
        <v>0</v>
      </c>
      <c r="AP29" s="57">
        <v>2</v>
      </c>
      <c r="AQ29" s="2">
        <f t="shared" si="42"/>
        <v>0</v>
      </c>
      <c r="AR29" s="97">
        <f t="shared" si="8"/>
        <v>2</v>
      </c>
      <c r="AS29" s="56">
        <v>2</v>
      </c>
      <c r="AT29" s="56" t="s">
        <v>0</v>
      </c>
      <c r="AU29" s="57">
        <v>1</v>
      </c>
      <c r="AV29" s="2">
        <f t="shared" si="43"/>
        <v>1</v>
      </c>
      <c r="AW29" s="97">
        <f t="shared" si="9"/>
        <v>2</v>
      </c>
      <c r="AX29" s="56">
        <v>2</v>
      </c>
      <c r="AY29" s="56" t="s">
        <v>0</v>
      </c>
      <c r="AZ29" s="57">
        <v>0</v>
      </c>
      <c r="BA29" s="2">
        <f t="shared" si="53"/>
        <v>1</v>
      </c>
      <c r="BB29" s="97">
        <f t="shared" ref="BB29:BB51" si="55">IF(BE29=BC29,3,IF(BE29&gt;BC29,1,IF(BE29&lt;BC29,2)))</f>
        <v>2</v>
      </c>
      <c r="BC29" s="56">
        <v>3</v>
      </c>
      <c r="BD29" s="56" t="s">
        <v>0</v>
      </c>
      <c r="BE29" s="57">
        <v>1</v>
      </c>
      <c r="BF29" s="2">
        <f t="shared" ref="BF29:BF51" si="56">IF(OR(D29="",BC29=""),0,IF((BC29=D29)*(BE29=F29),3,IF(BB29=G29,1,0)))</f>
        <v>1</v>
      </c>
      <c r="BG29" s="97">
        <f t="shared" ref="BG29:BG51" si="57">IF(BJ29=BH29,3,IF(BJ29&gt;BH29,1,IF(BJ29&lt;BH29,2)))</f>
        <v>2</v>
      </c>
      <c r="BH29" s="64">
        <v>2</v>
      </c>
      <c r="BI29" s="64" t="s">
        <v>0</v>
      </c>
      <c r="BJ29" s="65">
        <v>0</v>
      </c>
      <c r="BK29" s="2">
        <f t="shared" ref="BK29:BK51" si="58">IF(OR(D29="",BH29=""),0,IF((BH29=D29)*(BJ29=F29),3,IF(BG29=G29,1,0)))</f>
        <v>1</v>
      </c>
      <c r="BL29" s="97">
        <f t="shared" ref="BL29:BL51" si="59">IF(BO29=BM29,3,IF(BO29&gt;BM29,1,IF(BO29&lt;BM29,2)))</f>
        <v>2</v>
      </c>
      <c r="BM29" s="56">
        <v>2</v>
      </c>
      <c r="BN29" s="56" t="s">
        <v>0</v>
      </c>
      <c r="BO29" s="57">
        <v>0</v>
      </c>
      <c r="BP29" s="2">
        <f t="shared" ref="BP29:BP51" si="60">IF(OR(D29="",BM29=""),0,IF((BM29=D29)*(BO29=F29),3,IF(BL29=G29,1,0)))</f>
        <v>1</v>
      </c>
      <c r="BQ29" s="97">
        <f t="shared" ref="BQ29:BQ51" si="61">IF(BT29=BR29,3,IF(BT29&gt;BR29,1,IF(BT29&lt;BR29,2)))</f>
        <v>3</v>
      </c>
      <c r="BR29" s="56"/>
      <c r="BS29" s="56" t="s">
        <v>0</v>
      </c>
      <c r="BT29" s="57"/>
      <c r="BU29" s="2">
        <f t="shared" ref="BU29:BU51" si="62">IF(OR(D29="",BR29=""),0,IF((BR29=D29)*(BT29=F29),3,IF(BQ29=G29,1,0)))</f>
        <v>0</v>
      </c>
      <c r="BV29" s="97">
        <f t="shared" ref="BV29:BV51" si="63">IF(BY29=BW29,3,IF(BY29&gt;BW29,1,IF(BY29&lt;BW29,2)))</f>
        <v>3</v>
      </c>
      <c r="BW29" s="56"/>
      <c r="BX29" s="56" t="s">
        <v>0</v>
      </c>
      <c r="BY29" s="57"/>
      <c r="BZ29" s="2">
        <f t="shared" ref="BZ29:BZ51" si="64">IF(OR(D29="",BW29=""),0,IF((BW29=D29)*(BY29=F29),3,IF(BV29=G29,1,0)))</f>
        <v>0</v>
      </c>
      <c r="CA29" s="97">
        <f t="shared" ref="CA29:CA51" si="65">IF(CD29=CB29,3,IF(CD29&gt;CB29,1,IF(CD29&lt;CB29,2)))</f>
        <v>3</v>
      </c>
      <c r="CB29" s="25"/>
      <c r="CC29" s="12" t="s">
        <v>0</v>
      </c>
      <c r="CD29" s="26"/>
      <c r="CE29" s="2">
        <f t="shared" ref="CE29:CE51" si="66">IF(OR(D29="",CB29=""),0,IF((CB29=D29)*(CD29=F29),3,IF(CA29=G29,1,0)))</f>
        <v>0</v>
      </c>
    </row>
    <row r="30" spans="1:83" ht="13.8" hidden="1" outlineLevel="1">
      <c r="A30" s="71">
        <v>46192.125</v>
      </c>
      <c r="B30" s="40" t="s">
        <v>93</v>
      </c>
      <c r="C30" s="41" t="s">
        <v>95</v>
      </c>
      <c r="D30" s="43">
        <v>1</v>
      </c>
      <c r="E30" s="44" t="s">
        <v>0</v>
      </c>
      <c r="F30" s="43">
        <v>0</v>
      </c>
      <c r="G30">
        <f t="shared" ref="G30:G51" si="67">IF(F30=D30,3,IF(F30&lt;D30,2,IF(F30&gt;D30,1)))</f>
        <v>2</v>
      </c>
      <c r="H30" s="45"/>
      <c r="I30" s="97">
        <f t="shared" ref="I30:I51" si="68">IF(L30=J30,3,IF(L30&gt;J30,1,IF(L30&lt;J30,2)))</f>
        <v>2</v>
      </c>
      <c r="J30" s="56">
        <v>2</v>
      </c>
      <c r="K30" s="56" t="s">
        <v>0</v>
      </c>
      <c r="L30" s="57">
        <v>1</v>
      </c>
      <c r="M30" s="2">
        <f t="shared" ref="M30:M51" si="69">IF(OR(D30="",J30=""),0,IF((J30=D30)*(L30=F30),3,IF(I30=G30,1,0)))</f>
        <v>1</v>
      </c>
      <c r="N30" s="97">
        <f t="shared" ref="N30:N51" si="70">IF(Q30=O30,3,IF(Q30&gt;O30,1,IF(Q30&lt;O30,2)))</f>
        <v>3</v>
      </c>
      <c r="O30" s="56">
        <v>1</v>
      </c>
      <c r="P30" s="56" t="s">
        <v>0</v>
      </c>
      <c r="Q30" s="57">
        <v>1</v>
      </c>
      <c r="R30" s="2">
        <f t="shared" ref="R30:R51" si="71">IF(OR(D30="",O30=""),0,IF((O30=D30)*(Q30=F30),3,IF(N30=G30,1,0)))</f>
        <v>0</v>
      </c>
      <c r="S30" s="97">
        <f t="shared" ref="S30:S51" si="72">IF(V30=T30,3,IF(V30&gt;T30,1,IF(V30&lt;T30,2)))</f>
        <v>2</v>
      </c>
      <c r="T30" s="56">
        <v>3</v>
      </c>
      <c r="U30" s="56" t="s">
        <v>0</v>
      </c>
      <c r="V30" s="57">
        <v>1</v>
      </c>
      <c r="W30" s="2">
        <f t="shared" ref="W30:W51" si="73">IF(OR(D30="",T30=""),0,IF((T30=D30)*(V30=F30),3,IF(S30=G30,1,0)))</f>
        <v>1</v>
      </c>
      <c r="X30" s="97">
        <f t="shared" ref="X30:X51" si="74">IF(AA30=Y30,3,IF(AA30&gt;Y30,1,IF(AA30&lt;Y30,2)))</f>
        <v>2</v>
      </c>
      <c r="Y30" s="74">
        <v>2</v>
      </c>
      <c r="Z30" s="56" t="s">
        <v>0</v>
      </c>
      <c r="AA30" s="76">
        <v>1</v>
      </c>
      <c r="AB30" s="2">
        <f t="shared" ref="AB30:AB51" si="75">IF(OR(D30="",Y30=""),0,IF((Y30=D30)*(AA30=F30),3,IF(X30=G30,1,0)))</f>
        <v>1</v>
      </c>
      <c r="AC30" s="97">
        <f t="shared" ref="AC30:AC51" si="76">IF(AF30=AD30,3,IF(AF30&gt;AD30,1,IF(AF30&lt;AD30,2)))</f>
        <v>1</v>
      </c>
      <c r="AD30" s="56">
        <v>0</v>
      </c>
      <c r="AE30" s="56" t="s">
        <v>0</v>
      </c>
      <c r="AF30" s="57">
        <v>2</v>
      </c>
      <c r="AG30" s="2">
        <f t="shared" ref="AG30:AG51" si="77">IF(OR(D30="",AD30=""),0,IF((AD30=D30)*(AF30=F30),3,IF(AC30=G30,1,0)))</f>
        <v>0</v>
      </c>
      <c r="AH30" s="97">
        <f t="shared" ref="AH30:AH51" si="78">IF(AK30=AI30,3,IF(AK30&gt;AI30,1,IF(AK30&lt;AI30,2)))</f>
        <v>3</v>
      </c>
      <c r="AI30" s="56">
        <v>2</v>
      </c>
      <c r="AJ30" s="56" t="s">
        <v>0</v>
      </c>
      <c r="AK30" s="57">
        <v>2</v>
      </c>
      <c r="AL30" s="2">
        <f t="shared" ref="AL30:AL51" si="79">IF(OR(D30="",AI30=""),0,IF((AI30=D30)*(AK30=F30),3,IF(AH30=G30,1,0)))</f>
        <v>0</v>
      </c>
      <c r="AM30" s="97">
        <f t="shared" ref="AM30:AM51" si="80">IF(AP30=AN30,3,IF(AP30&gt;AN30,1,IF(AP30&lt;AN30,2)))</f>
        <v>2</v>
      </c>
      <c r="AN30" s="56">
        <v>1</v>
      </c>
      <c r="AO30" s="56" t="s">
        <v>0</v>
      </c>
      <c r="AP30" s="57">
        <v>0</v>
      </c>
      <c r="AQ30" s="2">
        <f t="shared" ref="AQ30:AQ51" si="81">IF(OR(D30="",AN30=""),0,IF((AN30=D30)*(AP30=F30),3,IF(AM30=G30,1,0)))</f>
        <v>3</v>
      </c>
      <c r="AR30" s="97">
        <f t="shared" ref="AR30:AR51" si="82">IF(AU30=AS30,3,IF(AU30&gt;AS30,1,IF(AU30&lt;AS30,2)))</f>
        <v>2</v>
      </c>
      <c r="AS30" s="56">
        <v>1</v>
      </c>
      <c r="AT30" s="56" t="s">
        <v>0</v>
      </c>
      <c r="AU30" s="57">
        <v>0</v>
      </c>
      <c r="AV30" s="2">
        <f t="shared" ref="AV30:AV51" si="83">IF(OR(D30="",AS30=""),0,IF((AS30=D30)*(AU30=F30),3,IF(AR30=G30,1,0)))</f>
        <v>3</v>
      </c>
      <c r="AW30" s="97">
        <f t="shared" ref="AW30:AW51" si="84">IF(AZ30=AX30,3,IF(AZ30&gt;AX30,1,IF(AZ30&lt;AX30,2)))</f>
        <v>2</v>
      </c>
      <c r="AX30" s="56">
        <v>2</v>
      </c>
      <c r="AY30" s="56" t="s">
        <v>0</v>
      </c>
      <c r="AZ30" s="57">
        <v>1</v>
      </c>
      <c r="BA30" s="2">
        <f t="shared" si="53"/>
        <v>1</v>
      </c>
      <c r="BB30" s="97">
        <f t="shared" si="55"/>
        <v>3</v>
      </c>
      <c r="BC30" s="56">
        <v>1</v>
      </c>
      <c r="BD30" s="56" t="s">
        <v>0</v>
      </c>
      <c r="BE30" s="57">
        <v>1</v>
      </c>
      <c r="BF30" s="2">
        <f t="shared" si="56"/>
        <v>0</v>
      </c>
      <c r="BG30" s="97">
        <f t="shared" si="57"/>
        <v>1</v>
      </c>
      <c r="BH30" s="64">
        <v>1</v>
      </c>
      <c r="BI30" s="64" t="s">
        <v>0</v>
      </c>
      <c r="BJ30" s="65">
        <v>2</v>
      </c>
      <c r="BK30" s="2">
        <f t="shared" si="58"/>
        <v>0</v>
      </c>
      <c r="BL30" s="97">
        <f t="shared" si="59"/>
        <v>2</v>
      </c>
      <c r="BM30" s="56">
        <v>2</v>
      </c>
      <c r="BN30" s="56" t="s">
        <v>0</v>
      </c>
      <c r="BO30" s="57">
        <v>0</v>
      </c>
      <c r="BP30" s="2">
        <f t="shared" si="60"/>
        <v>1</v>
      </c>
      <c r="BQ30" s="97">
        <f t="shared" si="61"/>
        <v>3</v>
      </c>
      <c r="BR30" s="56"/>
      <c r="BS30" s="56" t="s">
        <v>0</v>
      </c>
      <c r="BT30" s="57"/>
      <c r="BU30" s="2">
        <f t="shared" si="62"/>
        <v>0</v>
      </c>
      <c r="BV30" s="97">
        <f t="shared" si="63"/>
        <v>3</v>
      </c>
      <c r="BW30" s="56"/>
      <c r="BX30" s="56" t="s">
        <v>0</v>
      </c>
      <c r="BY30" s="57"/>
      <c r="BZ30" s="2">
        <f t="shared" si="64"/>
        <v>0</v>
      </c>
      <c r="CA30" s="97">
        <f t="shared" si="65"/>
        <v>3</v>
      </c>
      <c r="CB30" s="25"/>
      <c r="CC30" s="12" t="s">
        <v>0</v>
      </c>
      <c r="CD30" s="26"/>
      <c r="CE30" s="2">
        <f t="shared" si="66"/>
        <v>0</v>
      </c>
    </row>
    <row r="31" spans="1:83" ht="13.8" hidden="1" outlineLevel="1">
      <c r="A31" s="71">
        <v>46192</v>
      </c>
      <c r="B31" s="40" t="s">
        <v>97</v>
      </c>
      <c r="C31" s="41" t="s">
        <v>101</v>
      </c>
      <c r="D31" s="43">
        <v>6</v>
      </c>
      <c r="E31" s="44" t="s">
        <v>0</v>
      </c>
      <c r="F31" s="43">
        <v>0</v>
      </c>
      <c r="G31">
        <f t="shared" si="67"/>
        <v>2</v>
      </c>
      <c r="H31" s="45"/>
      <c r="I31" s="97">
        <f t="shared" si="68"/>
        <v>2</v>
      </c>
      <c r="J31" s="56">
        <v>3</v>
      </c>
      <c r="K31" s="56" t="s">
        <v>0</v>
      </c>
      <c r="L31" s="57">
        <v>1</v>
      </c>
      <c r="M31" s="2">
        <f t="shared" si="69"/>
        <v>1</v>
      </c>
      <c r="N31" s="97">
        <f t="shared" si="70"/>
        <v>2</v>
      </c>
      <c r="O31" s="56">
        <v>2</v>
      </c>
      <c r="P31" s="56" t="s">
        <v>0</v>
      </c>
      <c r="Q31" s="57">
        <v>1</v>
      </c>
      <c r="R31" s="2">
        <f t="shared" si="71"/>
        <v>1</v>
      </c>
      <c r="S31" s="97">
        <f t="shared" si="72"/>
        <v>2</v>
      </c>
      <c r="T31" s="56">
        <v>3</v>
      </c>
      <c r="U31" s="56" t="s">
        <v>0</v>
      </c>
      <c r="V31" s="57">
        <v>0</v>
      </c>
      <c r="W31" s="2">
        <f t="shared" si="73"/>
        <v>1</v>
      </c>
      <c r="X31" s="97">
        <f t="shared" si="74"/>
        <v>1</v>
      </c>
      <c r="Y31" s="74">
        <v>0</v>
      </c>
      <c r="Z31" s="56" t="s">
        <v>0</v>
      </c>
      <c r="AA31" s="76">
        <v>1</v>
      </c>
      <c r="AB31" s="2">
        <f t="shared" si="75"/>
        <v>0</v>
      </c>
      <c r="AC31" s="97">
        <f t="shared" si="76"/>
        <v>2</v>
      </c>
      <c r="AD31" s="56">
        <v>2</v>
      </c>
      <c r="AE31" s="56" t="s">
        <v>0</v>
      </c>
      <c r="AF31" s="57">
        <v>1</v>
      </c>
      <c r="AG31" s="2">
        <f t="shared" si="77"/>
        <v>1</v>
      </c>
      <c r="AH31" s="97">
        <f t="shared" si="78"/>
        <v>1</v>
      </c>
      <c r="AI31" s="56">
        <v>0</v>
      </c>
      <c r="AJ31" s="56" t="s">
        <v>0</v>
      </c>
      <c r="AK31" s="57">
        <v>1</v>
      </c>
      <c r="AL31" s="2">
        <f t="shared" si="79"/>
        <v>0</v>
      </c>
      <c r="AM31" s="97">
        <f t="shared" si="80"/>
        <v>2</v>
      </c>
      <c r="AN31" s="56">
        <v>2</v>
      </c>
      <c r="AO31" s="56" t="s">
        <v>0</v>
      </c>
      <c r="AP31" s="57">
        <v>0</v>
      </c>
      <c r="AQ31" s="2">
        <f t="shared" si="81"/>
        <v>1</v>
      </c>
      <c r="AR31" s="97">
        <f t="shared" si="82"/>
        <v>2</v>
      </c>
      <c r="AS31" s="56">
        <v>3</v>
      </c>
      <c r="AT31" s="56" t="s">
        <v>0</v>
      </c>
      <c r="AU31" s="57">
        <v>0</v>
      </c>
      <c r="AV31" s="2">
        <f t="shared" si="83"/>
        <v>1</v>
      </c>
      <c r="AW31" s="97">
        <f t="shared" si="84"/>
        <v>2</v>
      </c>
      <c r="AX31" s="56">
        <v>2</v>
      </c>
      <c r="AY31" s="56" t="s">
        <v>0</v>
      </c>
      <c r="AZ31" s="57">
        <v>0</v>
      </c>
      <c r="BA31" s="2">
        <f t="shared" si="53"/>
        <v>1</v>
      </c>
      <c r="BB31" s="97">
        <f t="shared" si="55"/>
        <v>2</v>
      </c>
      <c r="BC31" s="56">
        <v>2</v>
      </c>
      <c r="BD31" s="56" t="s">
        <v>0</v>
      </c>
      <c r="BE31" s="57">
        <v>0</v>
      </c>
      <c r="BF31" s="2">
        <f t="shared" si="56"/>
        <v>1</v>
      </c>
      <c r="BG31" s="97">
        <f t="shared" si="57"/>
        <v>2</v>
      </c>
      <c r="BH31" s="64">
        <v>1</v>
      </c>
      <c r="BI31" s="64" t="s">
        <v>0</v>
      </c>
      <c r="BJ31" s="65">
        <v>0</v>
      </c>
      <c r="BK31" s="2">
        <f t="shared" si="58"/>
        <v>1</v>
      </c>
      <c r="BL31" s="97">
        <f t="shared" si="59"/>
        <v>2</v>
      </c>
      <c r="BM31" s="56">
        <v>1</v>
      </c>
      <c r="BN31" s="56" t="s">
        <v>0</v>
      </c>
      <c r="BO31" s="57">
        <v>0</v>
      </c>
      <c r="BP31" s="2">
        <f t="shared" si="60"/>
        <v>1</v>
      </c>
      <c r="BQ31" s="97">
        <f t="shared" si="61"/>
        <v>3</v>
      </c>
      <c r="BR31" s="56"/>
      <c r="BS31" s="56" t="s">
        <v>0</v>
      </c>
      <c r="BT31" s="57"/>
      <c r="BU31" s="2">
        <f t="shared" si="62"/>
        <v>0</v>
      </c>
      <c r="BV31" s="97">
        <f t="shared" si="63"/>
        <v>3</v>
      </c>
      <c r="BW31" s="56"/>
      <c r="BX31" s="56" t="s">
        <v>0</v>
      </c>
      <c r="BY31" s="57"/>
      <c r="BZ31" s="2">
        <f t="shared" si="64"/>
        <v>0</v>
      </c>
      <c r="CA31" s="97">
        <f t="shared" si="65"/>
        <v>3</v>
      </c>
      <c r="CB31" s="25"/>
      <c r="CC31" s="12" t="s">
        <v>0</v>
      </c>
      <c r="CD31" s="26"/>
      <c r="CE31" s="2">
        <f t="shared" si="66"/>
        <v>0</v>
      </c>
    </row>
    <row r="32" spans="1:83" ht="13.8" hidden="1" outlineLevel="1">
      <c r="A32" s="71">
        <v>46192.875</v>
      </c>
      <c r="B32" s="40" t="s">
        <v>99</v>
      </c>
      <c r="C32" s="41" t="s">
        <v>79</v>
      </c>
      <c r="D32" s="43">
        <v>2</v>
      </c>
      <c r="E32" s="44" t="s">
        <v>0</v>
      </c>
      <c r="F32" s="43">
        <v>0</v>
      </c>
      <c r="G32">
        <f t="shared" si="67"/>
        <v>2</v>
      </c>
      <c r="H32" s="45"/>
      <c r="I32" s="97">
        <f t="shared" si="68"/>
        <v>1</v>
      </c>
      <c r="J32" s="56">
        <v>1</v>
      </c>
      <c r="K32" s="56" t="s">
        <v>0</v>
      </c>
      <c r="L32" s="57">
        <v>2</v>
      </c>
      <c r="M32" s="2">
        <f t="shared" si="69"/>
        <v>0</v>
      </c>
      <c r="N32" s="97">
        <f t="shared" si="70"/>
        <v>1</v>
      </c>
      <c r="O32" s="56">
        <v>1</v>
      </c>
      <c r="P32" s="56" t="s">
        <v>0</v>
      </c>
      <c r="Q32" s="57">
        <v>3</v>
      </c>
      <c r="R32" s="2">
        <f t="shared" si="71"/>
        <v>0</v>
      </c>
      <c r="S32" s="97">
        <f t="shared" si="72"/>
        <v>3</v>
      </c>
      <c r="T32" s="56">
        <v>2</v>
      </c>
      <c r="U32" s="56" t="s">
        <v>0</v>
      </c>
      <c r="V32" s="57">
        <v>2</v>
      </c>
      <c r="W32" s="2">
        <f t="shared" si="73"/>
        <v>0</v>
      </c>
      <c r="X32" s="97">
        <f t="shared" si="74"/>
        <v>3</v>
      </c>
      <c r="Y32" s="74">
        <v>2</v>
      </c>
      <c r="Z32" s="56" t="s">
        <v>0</v>
      </c>
      <c r="AA32" s="76">
        <v>2</v>
      </c>
      <c r="AB32" s="2">
        <f t="shared" si="75"/>
        <v>0</v>
      </c>
      <c r="AC32" s="97">
        <f t="shared" si="76"/>
        <v>2</v>
      </c>
      <c r="AD32" s="56">
        <v>2</v>
      </c>
      <c r="AE32" s="56" t="s">
        <v>0</v>
      </c>
      <c r="AF32" s="57">
        <v>1</v>
      </c>
      <c r="AG32" s="2">
        <f t="shared" si="77"/>
        <v>1</v>
      </c>
      <c r="AH32" s="97">
        <f t="shared" si="78"/>
        <v>1</v>
      </c>
      <c r="AI32" s="56">
        <v>0</v>
      </c>
      <c r="AJ32" s="56" t="s">
        <v>0</v>
      </c>
      <c r="AK32" s="57">
        <v>1</v>
      </c>
      <c r="AL32" s="2">
        <f t="shared" si="79"/>
        <v>0</v>
      </c>
      <c r="AM32" s="97">
        <f t="shared" si="80"/>
        <v>3</v>
      </c>
      <c r="AN32" s="56">
        <v>1</v>
      </c>
      <c r="AO32" s="56" t="s">
        <v>0</v>
      </c>
      <c r="AP32" s="57">
        <v>1</v>
      </c>
      <c r="AQ32" s="2">
        <f t="shared" si="81"/>
        <v>0</v>
      </c>
      <c r="AR32" s="97">
        <f t="shared" si="82"/>
        <v>2</v>
      </c>
      <c r="AS32" s="56">
        <v>3</v>
      </c>
      <c r="AT32" s="56" t="s">
        <v>0</v>
      </c>
      <c r="AU32" s="57">
        <v>1</v>
      </c>
      <c r="AV32" s="2">
        <f t="shared" si="83"/>
        <v>1</v>
      </c>
      <c r="AW32" s="97">
        <f t="shared" si="84"/>
        <v>2</v>
      </c>
      <c r="AX32" s="56">
        <v>2</v>
      </c>
      <c r="AY32" s="56" t="s">
        <v>0</v>
      </c>
      <c r="AZ32" s="57">
        <v>1</v>
      </c>
      <c r="BA32" s="2">
        <f t="shared" si="53"/>
        <v>1</v>
      </c>
      <c r="BB32" s="97">
        <f t="shared" si="55"/>
        <v>3</v>
      </c>
      <c r="BC32" s="56">
        <v>1</v>
      </c>
      <c r="BD32" s="56" t="s">
        <v>0</v>
      </c>
      <c r="BE32" s="57">
        <v>1</v>
      </c>
      <c r="BF32" s="2">
        <f t="shared" si="56"/>
        <v>0</v>
      </c>
      <c r="BG32" s="97">
        <f t="shared" si="57"/>
        <v>3</v>
      </c>
      <c r="BH32" s="64">
        <v>1</v>
      </c>
      <c r="BI32" s="64" t="s">
        <v>0</v>
      </c>
      <c r="BJ32" s="65">
        <v>1</v>
      </c>
      <c r="BK32" s="2">
        <f t="shared" si="58"/>
        <v>0</v>
      </c>
      <c r="BL32" s="97">
        <f t="shared" si="59"/>
        <v>2</v>
      </c>
      <c r="BM32" s="56">
        <v>1</v>
      </c>
      <c r="BN32" s="56" t="s">
        <v>0</v>
      </c>
      <c r="BO32" s="57">
        <v>0</v>
      </c>
      <c r="BP32" s="2">
        <f t="shared" si="60"/>
        <v>1</v>
      </c>
      <c r="BQ32" s="97">
        <f t="shared" si="61"/>
        <v>3</v>
      </c>
      <c r="BR32" s="56"/>
      <c r="BS32" s="56" t="s">
        <v>0</v>
      </c>
      <c r="BT32" s="57"/>
      <c r="BU32" s="2">
        <f t="shared" si="62"/>
        <v>0</v>
      </c>
      <c r="BV32" s="97">
        <f t="shared" si="63"/>
        <v>3</v>
      </c>
      <c r="BW32" s="56"/>
      <c r="BX32" s="56" t="s">
        <v>0</v>
      </c>
      <c r="BY32" s="57"/>
      <c r="BZ32" s="2">
        <f t="shared" si="64"/>
        <v>0</v>
      </c>
      <c r="CA32" s="97">
        <f t="shared" si="65"/>
        <v>3</v>
      </c>
      <c r="CB32" s="25"/>
      <c r="CC32" s="12" t="s">
        <v>0</v>
      </c>
      <c r="CD32" s="26"/>
      <c r="CE32" s="2">
        <f t="shared" si="66"/>
        <v>0</v>
      </c>
    </row>
    <row r="33" spans="1:83" ht="13.8" hidden="1" outlineLevel="1">
      <c r="A33" s="71">
        <v>46193</v>
      </c>
      <c r="B33" s="40" t="s">
        <v>88</v>
      </c>
      <c r="C33" s="41" t="s">
        <v>103</v>
      </c>
      <c r="D33" s="43">
        <v>0</v>
      </c>
      <c r="E33" s="44" t="s">
        <v>0</v>
      </c>
      <c r="F33" s="43">
        <v>1</v>
      </c>
      <c r="G33">
        <f t="shared" si="67"/>
        <v>1</v>
      </c>
      <c r="H33" s="45"/>
      <c r="I33" s="97">
        <f t="shared" si="68"/>
        <v>2</v>
      </c>
      <c r="J33" s="56">
        <v>2</v>
      </c>
      <c r="K33" s="56" t="s">
        <v>0</v>
      </c>
      <c r="L33" s="57">
        <v>1</v>
      </c>
      <c r="M33" s="2">
        <f t="shared" si="69"/>
        <v>0</v>
      </c>
      <c r="N33" s="97">
        <f t="shared" si="70"/>
        <v>2</v>
      </c>
      <c r="O33" s="56">
        <v>2</v>
      </c>
      <c r="P33" s="56" t="s">
        <v>0</v>
      </c>
      <c r="Q33" s="57">
        <v>1</v>
      </c>
      <c r="R33" s="2">
        <f t="shared" si="71"/>
        <v>0</v>
      </c>
      <c r="S33" s="97">
        <f t="shared" si="72"/>
        <v>1</v>
      </c>
      <c r="T33" s="56">
        <v>2</v>
      </c>
      <c r="U33" s="56" t="s">
        <v>0</v>
      </c>
      <c r="V33" s="57">
        <v>3</v>
      </c>
      <c r="W33" s="2">
        <f t="shared" si="73"/>
        <v>1</v>
      </c>
      <c r="X33" s="97">
        <f t="shared" si="74"/>
        <v>2</v>
      </c>
      <c r="Y33" s="74">
        <v>2</v>
      </c>
      <c r="Z33" s="56" t="s">
        <v>0</v>
      </c>
      <c r="AA33" s="76">
        <v>1</v>
      </c>
      <c r="AB33" s="2">
        <f t="shared" si="75"/>
        <v>0</v>
      </c>
      <c r="AC33" s="97">
        <f t="shared" si="76"/>
        <v>3</v>
      </c>
      <c r="AD33" s="56">
        <v>2</v>
      </c>
      <c r="AE33" s="56" t="s">
        <v>0</v>
      </c>
      <c r="AF33" s="57">
        <v>2</v>
      </c>
      <c r="AG33" s="2">
        <f t="shared" si="77"/>
        <v>0</v>
      </c>
      <c r="AH33" s="97">
        <f t="shared" si="78"/>
        <v>1</v>
      </c>
      <c r="AI33" s="56">
        <v>0</v>
      </c>
      <c r="AJ33" s="56" t="s">
        <v>0</v>
      </c>
      <c r="AK33" s="57">
        <v>2</v>
      </c>
      <c r="AL33" s="2">
        <f t="shared" si="79"/>
        <v>1</v>
      </c>
      <c r="AM33" s="97">
        <f t="shared" si="80"/>
        <v>1</v>
      </c>
      <c r="AN33" s="56">
        <v>1</v>
      </c>
      <c r="AO33" s="56" t="s">
        <v>0</v>
      </c>
      <c r="AP33" s="57">
        <v>2</v>
      </c>
      <c r="AQ33" s="2">
        <f t="shared" si="81"/>
        <v>1</v>
      </c>
      <c r="AR33" s="97">
        <f t="shared" si="82"/>
        <v>3</v>
      </c>
      <c r="AS33" s="56">
        <v>2</v>
      </c>
      <c r="AT33" s="56" t="s">
        <v>0</v>
      </c>
      <c r="AU33" s="57">
        <v>2</v>
      </c>
      <c r="AV33" s="2">
        <f t="shared" si="83"/>
        <v>0</v>
      </c>
      <c r="AW33" s="97">
        <f t="shared" si="84"/>
        <v>1</v>
      </c>
      <c r="AX33" s="56">
        <v>1</v>
      </c>
      <c r="AY33" s="56" t="s">
        <v>0</v>
      </c>
      <c r="AZ33" s="57">
        <v>2</v>
      </c>
      <c r="BA33" s="2">
        <f t="shared" si="53"/>
        <v>1</v>
      </c>
      <c r="BB33" s="97">
        <f t="shared" si="55"/>
        <v>1</v>
      </c>
      <c r="BC33" s="56">
        <v>1</v>
      </c>
      <c r="BD33" s="56" t="s">
        <v>0</v>
      </c>
      <c r="BE33" s="57">
        <v>2</v>
      </c>
      <c r="BF33" s="2">
        <f t="shared" si="56"/>
        <v>1</v>
      </c>
      <c r="BG33" s="97">
        <f t="shared" si="57"/>
        <v>1</v>
      </c>
      <c r="BH33" s="64">
        <v>0</v>
      </c>
      <c r="BI33" s="64" t="s">
        <v>0</v>
      </c>
      <c r="BJ33" s="65">
        <v>2</v>
      </c>
      <c r="BK33" s="2">
        <f t="shared" si="58"/>
        <v>1</v>
      </c>
      <c r="BL33" s="97">
        <f t="shared" si="59"/>
        <v>2</v>
      </c>
      <c r="BM33" s="56">
        <v>1</v>
      </c>
      <c r="BN33" s="56" t="s">
        <v>0</v>
      </c>
      <c r="BO33" s="57">
        <v>0</v>
      </c>
      <c r="BP33" s="2">
        <f t="shared" si="60"/>
        <v>0</v>
      </c>
      <c r="BQ33" s="97">
        <f t="shared" si="61"/>
        <v>3</v>
      </c>
      <c r="BR33" s="56"/>
      <c r="BS33" s="56" t="s">
        <v>0</v>
      </c>
      <c r="BT33" s="57"/>
      <c r="BU33" s="2">
        <f t="shared" si="62"/>
        <v>0</v>
      </c>
      <c r="BV33" s="97">
        <f t="shared" si="63"/>
        <v>3</v>
      </c>
      <c r="BW33" s="56"/>
      <c r="BX33" s="56" t="s">
        <v>0</v>
      </c>
      <c r="BY33" s="57"/>
      <c r="BZ33" s="2">
        <f t="shared" si="64"/>
        <v>0</v>
      </c>
      <c r="CA33" s="97">
        <f t="shared" si="65"/>
        <v>3</v>
      </c>
      <c r="CB33" s="25"/>
      <c r="CC33" s="12" t="s">
        <v>0</v>
      </c>
      <c r="CD33" s="26"/>
      <c r="CE33" s="2">
        <f t="shared" si="66"/>
        <v>0</v>
      </c>
    </row>
    <row r="34" spans="1:83" ht="13.8" hidden="1" outlineLevel="1">
      <c r="A34" s="71">
        <v>46193.125</v>
      </c>
      <c r="B34" s="40" t="s">
        <v>102</v>
      </c>
      <c r="C34" s="41" t="s">
        <v>78</v>
      </c>
      <c r="D34" s="43">
        <v>3</v>
      </c>
      <c r="E34" s="44" t="s">
        <v>0</v>
      </c>
      <c r="F34" s="43">
        <v>0</v>
      </c>
      <c r="G34">
        <f t="shared" si="67"/>
        <v>2</v>
      </c>
      <c r="H34" s="45"/>
      <c r="I34" s="97">
        <f t="shared" si="68"/>
        <v>2</v>
      </c>
      <c r="J34" s="56">
        <v>4</v>
      </c>
      <c r="K34" s="56" t="s">
        <v>0</v>
      </c>
      <c r="L34" s="57">
        <v>0</v>
      </c>
      <c r="M34" s="2">
        <f t="shared" si="69"/>
        <v>1</v>
      </c>
      <c r="N34" s="97">
        <f t="shared" si="70"/>
        <v>1</v>
      </c>
      <c r="O34" s="56">
        <v>1</v>
      </c>
      <c r="P34" s="56" t="s">
        <v>0</v>
      </c>
      <c r="Q34" s="57">
        <v>2</v>
      </c>
      <c r="R34" s="2">
        <f t="shared" si="71"/>
        <v>0</v>
      </c>
      <c r="S34" s="97">
        <f t="shared" si="72"/>
        <v>2</v>
      </c>
      <c r="T34" s="56">
        <v>3</v>
      </c>
      <c r="U34" s="56" t="s">
        <v>0</v>
      </c>
      <c r="V34" s="57">
        <v>1</v>
      </c>
      <c r="W34" s="2">
        <f t="shared" si="73"/>
        <v>1</v>
      </c>
      <c r="X34" s="97">
        <f t="shared" si="74"/>
        <v>3</v>
      </c>
      <c r="Y34" s="74">
        <v>2</v>
      </c>
      <c r="Z34" s="56" t="s">
        <v>0</v>
      </c>
      <c r="AA34" s="76">
        <v>2</v>
      </c>
      <c r="AB34" s="2">
        <f t="shared" si="75"/>
        <v>0</v>
      </c>
      <c r="AC34" s="97">
        <f t="shared" si="76"/>
        <v>2</v>
      </c>
      <c r="AD34" s="56">
        <v>6</v>
      </c>
      <c r="AE34" s="56" t="s">
        <v>0</v>
      </c>
      <c r="AF34" s="57">
        <v>0</v>
      </c>
      <c r="AG34" s="2">
        <f t="shared" si="77"/>
        <v>1</v>
      </c>
      <c r="AH34" s="97">
        <f t="shared" si="78"/>
        <v>2</v>
      </c>
      <c r="AI34" s="56">
        <v>5</v>
      </c>
      <c r="AJ34" s="56" t="s">
        <v>0</v>
      </c>
      <c r="AK34" s="57">
        <v>0</v>
      </c>
      <c r="AL34" s="2">
        <f t="shared" si="79"/>
        <v>1</v>
      </c>
      <c r="AM34" s="97">
        <f t="shared" si="80"/>
        <v>2</v>
      </c>
      <c r="AN34" s="56">
        <v>5</v>
      </c>
      <c r="AO34" s="56" t="s">
        <v>0</v>
      </c>
      <c r="AP34" s="57">
        <v>0</v>
      </c>
      <c r="AQ34" s="2">
        <f t="shared" si="81"/>
        <v>1</v>
      </c>
      <c r="AR34" s="97">
        <f t="shared" si="82"/>
        <v>2</v>
      </c>
      <c r="AS34" s="56">
        <v>4</v>
      </c>
      <c r="AT34" s="56" t="s">
        <v>0</v>
      </c>
      <c r="AU34" s="57">
        <v>0</v>
      </c>
      <c r="AV34" s="2">
        <f t="shared" si="83"/>
        <v>1</v>
      </c>
      <c r="AW34" s="97">
        <f t="shared" si="84"/>
        <v>2</v>
      </c>
      <c r="AX34" s="56">
        <v>4</v>
      </c>
      <c r="AY34" s="56" t="s">
        <v>0</v>
      </c>
      <c r="AZ34" s="57">
        <v>0</v>
      </c>
      <c r="BA34" s="2">
        <f t="shared" si="53"/>
        <v>1</v>
      </c>
      <c r="BB34" s="97">
        <f t="shared" si="55"/>
        <v>2</v>
      </c>
      <c r="BC34" s="56">
        <v>3</v>
      </c>
      <c r="BD34" s="56" t="s">
        <v>0</v>
      </c>
      <c r="BE34" s="57">
        <v>0</v>
      </c>
      <c r="BF34" s="2">
        <f t="shared" si="56"/>
        <v>3</v>
      </c>
      <c r="BG34" s="97">
        <f t="shared" si="57"/>
        <v>2</v>
      </c>
      <c r="BH34" s="64">
        <v>5</v>
      </c>
      <c r="BI34" s="64" t="s">
        <v>0</v>
      </c>
      <c r="BJ34" s="65">
        <v>0</v>
      </c>
      <c r="BK34" s="2">
        <f t="shared" si="58"/>
        <v>1</v>
      </c>
      <c r="BL34" s="97">
        <f t="shared" si="59"/>
        <v>2</v>
      </c>
      <c r="BM34" s="56">
        <v>4</v>
      </c>
      <c r="BN34" s="56" t="s">
        <v>0</v>
      </c>
      <c r="BO34" s="57">
        <v>0</v>
      </c>
      <c r="BP34" s="2">
        <f t="shared" si="60"/>
        <v>1</v>
      </c>
      <c r="BQ34" s="97">
        <f t="shared" si="61"/>
        <v>3</v>
      </c>
      <c r="BR34" s="56"/>
      <c r="BS34" s="56" t="s">
        <v>0</v>
      </c>
      <c r="BT34" s="57"/>
      <c r="BU34" s="2">
        <f t="shared" si="62"/>
        <v>0</v>
      </c>
      <c r="BV34" s="97">
        <f t="shared" si="63"/>
        <v>3</v>
      </c>
      <c r="BW34" s="56"/>
      <c r="BX34" s="56" t="s">
        <v>0</v>
      </c>
      <c r="BY34" s="57"/>
      <c r="BZ34" s="2">
        <f t="shared" si="64"/>
        <v>0</v>
      </c>
      <c r="CA34" s="97">
        <f t="shared" si="65"/>
        <v>3</v>
      </c>
      <c r="CB34" s="25"/>
      <c r="CC34" s="12" t="s">
        <v>0</v>
      </c>
      <c r="CD34" s="26"/>
      <c r="CE34" s="2">
        <f t="shared" si="66"/>
        <v>0</v>
      </c>
    </row>
    <row r="35" spans="1:83" ht="13.8" hidden="1" outlineLevel="1">
      <c r="A35" s="71">
        <v>46193.25</v>
      </c>
      <c r="B35" s="40" t="s">
        <v>89</v>
      </c>
      <c r="C35" s="41" t="s">
        <v>100</v>
      </c>
      <c r="D35" s="43">
        <v>0</v>
      </c>
      <c r="E35" s="44" t="s">
        <v>0</v>
      </c>
      <c r="F35" s="43">
        <v>1</v>
      </c>
      <c r="G35">
        <f t="shared" si="67"/>
        <v>1</v>
      </c>
      <c r="H35" s="45"/>
      <c r="I35" s="97">
        <f t="shared" si="68"/>
        <v>1</v>
      </c>
      <c r="J35" s="56">
        <v>1</v>
      </c>
      <c r="K35" s="56" t="s">
        <v>0</v>
      </c>
      <c r="L35" s="57">
        <v>2</v>
      </c>
      <c r="M35" s="2">
        <f t="shared" si="69"/>
        <v>1</v>
      </c>
      <c r="N35" s="97">
        <f t="shared" si="70"/>
        <v>1</v>
      </c>
      <c r="O35" s="56">
        <v>1</v>
      </c>
      <c r="P35" s="56" t="s">
        <v>0</v>
      </c>
      <c r="Q35" s="57">
        <v>3</v>
      </c>
      <c r="R35" s="2">
        <f t="shared" si="71"/>
        <v>1</v>
      </c>
      <c r="S35" s="97">
        <f t="shared" si="72"/>
        <v>3</v>
      </c>
      <c r="T35" s="56">
        <v>3</v>
      </c>
      <c r="U35" s="56" t="s">
        <v>0</v>
      </c>
      <c r="V35" s="57">
        <v>3</v>
      </c>
      <c r="W35" s="2">
        <f t="shared" si="73"/>
        <v>0</v>
      </c>
      <c r="X35" s="97">
        <f t="shared" si="74"/>
        <v>3</v>
      </c>
      <c r="Y35" s="74">
        <v>1</v>
      </c>
      <c r="Z35" s="56" t="s">
        <v>0</v>
      </c>
      <c r="AA35" s="76">
        <v>1</v>
      </c>
      <c r="AB35" s="2">
        <f t="shared" si="75"/>
        <v>0</v>
      </c>
      <c r="AC35" s="97">
        <f t="shared" si="76"/>
        <v>3</v>
      </c>
      <c r="AD35" s="56">
        <v>0</v>
      </c>
      <c r="AE35" s="56" t="s">
        <v>0</v>
      </c>
      <c r="AF35" s="57">
        <v>0</v>
      </c>
      <c r="AG35" s="2">
        <f t="shared" si="77"/>
        <v>0</v>
      </c>
      <c r="AH35" s="97">
        <f t="shared" si="78"/>
        <v>2</v>
      </c>
      <c r="AI35" s="56">
        <v>2</v>
      </c>
      <c r="AJ35" s="56" t="s">
        <v>0</v>
      </c>
      <c r="AK35" s="57">
        <v>0</v>
      </c>
      <c r="AL35" s="2">
        <f t="shared" si="79"/>
        <v>0</v>
      </c>
      <c r="AM35" s="97">
        <f t="shared" si="80"/>
        <v>2</v>
      </c>
      <c r="AN35" s="56">
        <v>2</v>
      </c>
      <c r="AO35" s="56" t="s">
        <v>0</v>
      </c>
      <c r="AP35" s="57">
        <v>1</v>
      </c>
      <c r="AQ35" s="2">
        <f t="shared" si="81"/>
        <v>0</v>
      </c>
      <c r="AR35" s="97">
        <f t="shared" si="82"/>
        <v>3</v>
      </c>
      <c r="AS35" s="56">
        <v>2</v>
      </c>
      <c r="AT35" s="56" t="s">
        <v>0</v>
      </c>
      <c r="AU35" s="57">
        <v>2</v>
      </c>
      <c r="AV35" s="2">
        <f t="shared" si="83"/>
        <v>0</v>
      </c>
      <c r="AW35" s="97">
        <f t="shared" si="84"/>
        <v>2</v>
      </c>
      <c r="AX35" s="56">
        <v>1</v>
      </c>
      <c r="AY35" s="56" t="s">
        <v>0</v>
      </c>
      <c r="AZ35" s="57">
        <v>0</v>
      </c>
      <c r="BA35" s="2">
        <f t="shared" si="53"/>
        <v>0</v>
      </c>
      <c r="BB35" s="97">
        <f t="shared" si="55"/>
        <v>2</v>
      </c>
      <c r="BC35" s="56">
        <v>2</v>
      </c>
      <c r="BD35" s="56" t="s">
        <v>0</v>
      </c>
      <c r="BE35" s="57">
        <v>0</v>
      </c>
      <c r="BF35" s="2">
        <f t="shared" si="56"/>
        <v>0</v>
      </c>
      <c r="BG35" s="97">
        <f t="shared" si="57"/>
        <v>2</v>
      </c>
      <c r="BH35" s="64">
        <v>2</v>
      </c>
      <c r="BI35" s="64" t="s">
        <v>0</v>
      </c>
      <c r="BJ35" s="65">
        <v>0</v>
      </c>
      <c r="BK35" s="2">
        <f t="shared" si="58"/>
        <v>0</v>
      </c>
      <c r="BL35" s="97">
        <f t="shared" si="59"/>
        <v>1</v>
      </c>
      <c r="BM35" s="56">
        <v>0</v>
      </c>
      <c r="BN35" s="56" t="s">
        <v>0</v>
      </c>
      <c r="BO35" s="57">
        <v>1</v>
      </c>
      <c r="BP35" s="2">
        <f t="shared" si="60"/>
        <v>3</v>
      </c>
      <c r="BQ35" s="97">
        <f t="shared" si="61"/>
        <v>3</v>
      </c>
      <c r="BR35" s="56"/>
      <c r="BS35" s="56" t="s">
        <v>0</v>
      </c>
      <c r="BT35" s="57"/>
      <c r="BU35" s="2">
        <f t="shared" si="62"/>
        <v>0</v>
      </c>
      <c r="BV35" s="97">
        <f t="shared" si="63"/>
        <v>3</v>
      </c>
      <c r="BW35" s="56"/>
      <c r="BX35" s="56" t="s">
        <v>0</v>
      </c>
      <c r="BY35" s="57"/>
      <c r="BZ35" s="2">
        <f t="shared" si="64"/>
        <v>0</v>
      </c>
      <c r="CA35" s="97">
        <f t="shared" si="65"/>
        <v>3</v>
      </c>
      <c r="CB35" s="25"/>
      <c r="CC35" s="12" t="s">
        <v>0</v>
      </c>
      <c r="CD35" s="26"/>
      <c r="CE35" s="2">
        <f t="shared" si="66"/>
        <v>0</v>
      </c>
    </row>
    <row r="36" spans="1:83" ht="13.8" hidden="1" outlineLevel="1">
      <c r="A36" s="71">
        <v>46193.916666666664</v>
      </c>
      <c r="B36" s="40" t="s">
        <v>104</v>
      </c>
      <c r="C36" s="41" t="s">
        <v>106</v>
      </c>
      <c r="D36" s="43">
        <v>2</v>
      </c>
      <c r="E36" s="44" t="s">
        <v>0</v>
      </c>
      <c r="F36" s="43">
        <v>1</v>
      </c>
      <c r="G36">
        <f t="shared" si="67"/>
        <v>2</v>
      </c>
      <c r="H36" s="45"/>
      <c r="I36" s="97">
        <f t="shared" si="68"/>
        <v>2</v>
      </c>
      <c r="J36" s="56">
        <v>2</v>
      </c>
      <c r="K36" s="56" t="s">
        <v>0</v>
      </c>
      <c r="L36" s="57">
        <v>0</v>
      </c>
      <c r="M36" s="2">
        <f t="shared" si="69"/>
        <v>1</v>
      </c>
      <c r="N36" s="97">
        <f t="shared" si="70"/>
        <v>2</v>
      </c>
      <c r="O36" s="56">
        <v>2</v>
      </c>
      <c r="P36" s="56" t="s">
        <v>0</v>
      </c>
      <c r="Q36" s="57">
        <v>1</v>
      </c>
      <c r="R36" s="2">
        <f t="shared" si="71"/>
        <v>3</v>
      </c>
      <c r="S36" s="97">
        <f t="shared" si="72"/>
        <v>2</v>
      </c>
      <c r="T36" s="56">
        <v>3</v>
      </c>
      <c r="U36" s="56" t="s">
        <v>0</v>
      </c>
      <c r="V36" s="57">
        <v>1</v>
      </c>
      <c r="W36" s="2">
        <f t="shared" si="73"/>
        <v>1</v>
      </c>
      <c r="X36" s="97">
        <f t="shared" si="74"/>
        <v>2</v>
      </c>
      <c r="Y36" s="74">
        <v>1</v>
      </c>
      <c r="Z36" s="56" t="s">
        <v>0</v>
      </c>
      <c r="AA36" s="76">
        <v>0</v>
      </c>
      <c r="AB36" s="2">
        <f t="shared" si="75"/>
        <v>1</v>
      </c>
      <c r="AC36" s="97">
        <f t="shared" si="76"/>
        <v>2</v>
      </c>
      <c r="AD36" s="56">
        <v>2</v>
      </c>
      <c r="AE36" s="56" t="s">
        <v>0</v>
      </c>
      <c r="AF36" s="57">
        <v>0</v>
      </c>
      <c r="AG36" s="2">
        <f t="shared" si="77"/>
        <v>1</v>
      </c>
      <c r="AH36" s="97">
        <f t="shared" si="78"/>
        <v>2</v>
      </c>
      <c r="AI36" s="56">
        <v>3</v>
      </c>
      <c r="AJ36" s="56" t="s">
        <v>0</v>
      </c>
      <c r="AK36" s="57">
        <v>0</v>
      </c>
      <c r="AL36" s="2">
        <f t="shared" si="79"/>
        <v>1</v>
      </c>
      <c r="AM36" s="97">
        <f t="shared" si="80"/>
        <v>2</v>
      </c>
      <c r="AN36" s="56">
        <v>5</v>
      </c>
      <c r="AO36" s="56" t="s">
        <v>0</v>
      </c>
      <c r="AP36" s="57">
        <v>0</v>
      </c>
      <c r="AQ36" s="2">
        <f t="shared" si="81"/>
        <v>1</v>
      </c>
      <c r="AR36" s="97">
        <f t="shared" si="82"/>
        <v>2</v>
      </c>
      <c r="AS36" s="56">
        <v>3</v>
      </c>
      <c r="AT36" s="56" t="s">
        <v>0</v>
      </c>
      <c r="AU36" s="57">
        <v>2</v>
      </c>
      <c r="AV36" s="2">
        <f t="shared" si="83"/>
        <v>1</v>
      </c>
      <c r="AW36" s="97">
        <f t="shared" si="84"/>
        <v>2</v>
      </c>
      <c r="AX36" s="56">
        <v>2</v>
      </c>
      <c r="AY36" s="56" t="s">
        <v>0</v>
      </c>
      <c r="AZ36" s="57">
        <v>0</v>
      </c>
      <c r="BA36" s="2">
        <f t="shared" si="53"/>
        <v>1</v>
      </c>
      <c r="BB36" s="97">
        <f t="shared" si="55"/>
        <v>2</v>
      </c>
      <c r="BC36" s="56">
        <v>2</v>
      </c>
      <c r="BD36" s="56" t="s">
        <v>0</v>
      </c>
      <c r="BE36" s="57">
        <v>1</v>
      </c>
      <c r="BF36" s="2">
        <f t="shared" si="56"/>
        <v>3</v>
      </c>
      <c r="BG36" s="97">
        <f t="shared" si="57"/>
        <v>2</v>
      </c>
      <c r="BH36" s="64">
        <v>2</v>
      </c>
      <c r="BI36" s="64" t="s">
        <v>0</v>
      </c>
      <c r="BJ36" s="65">
        <v>1</v>
      </c>
      <c r="BK36" s="2">
        <f t="shared" si="58"/>
        <v>3</v>
      </c>
      <c r="BL36" s="97">
        <f t="shared" si="59"/>
        <v>2</v>
      </c>
      <c r="BM36" s="56">
        <v>3</v>
      </c>
      <c r="BN36" s="56" t="s">
        <v>0</v>
      </c>
      <c r="BO36" s="57">
        <v>1</v>
      </c>
      <c r="BP36" s="2">
        <f t="shared" si="60"/>
        <v>1</v>
      </c>
      <c r="BQ36" s="97">
        <f t="shared" si="61"/>
        <v>3</v>
      </c>
      <c r="BR36" s="56"/>
      <c r="BS36" s="56" t="s">
        <v>0</v>
      </c>
      <c r="BT36" s="57"/>
      <c r="BU36" s="2">
        <f t="shared" si="62"/>
        <v>0</v>
      </c>
      <c r="BV36" s="97">
        <f t="shared" si="63"/>
        <v>3</v>
      </c>
      <c r="BW36" s="56"/>
      <c r="BX36" s="56" t="s">
        <v>0</v>
      </c>
      <c r="BY36" s="57"/>
      <c r="BZ36" s="2">
        <f t="shared" si="64"/>
        <v>0</v>
      </c>
      <c r="CA36" s="97">
        <f t="shared" si="65"/>
        <v>3</v>
      </c>
      <c r="CB36" s="25"/>
      <c r="CC36" s="12" t="s">
        <v>0</v>
      </c>
      <c r="CD36" s="26"/>
      <c r="CE36" s="2">
        <f t="shared" si="66"/>
        <v>0</v>
      </c>
    </row>
    <row r="37" spans="1:83" ht="13.8" hidden="1" outlineLevel="1">
      <c r="A37" s="71">
        <v>46193.791666666664</v>
      </c>
      <c r="B37" s="40" t="s">
        <v>90</v>
      </c>
      <c r="C37" s="41" t="s">
        <v>108</v>
      </c>
      <c r="D37" s="43">
        <v>5</v>
      </c>
      <c r="E37" s="44" t="s">
        <v>0</v>
      </c>
      <c r="F37" s="43">
        <v>1</v>
      </c>
      <c r="G37">
        <f t="shared" si="67"/>
        <v>2</v>
      </c>
      <c r="H37" s="45"/>
      <c r="I37" s="97">
        <f t="shared" si="68"/>
        <v>2</v>
      </c>
      <c r="J37" s="56">
        <v>2</v>
      </c>
      <c r="K37" s="56" t="s">
        <v>0</v>
      </c>
      <c r="L37" s="57">
        <v>1</v>
      </c>
      <c r="M37" s="2">
        <f t="shared" si="69"/>
        <v>1</v>
      </c>
      <c r="N37" s="97">
        <f t="shared" si="70"/>
        <v>2</v>
      </c>
      <c r="O37" s="56">
        <v>2</v>
      </c>
      <c r="P37" s="56" t="s">
        <v>0</v>
      </c>
      <c r="Q37" s="57">
        <v>0</v>
      </c>
      <c r="R37" s="2">
        <f t="shared" si="71"/>
        <v>1</v>
      </c>
      <c r="S37" s="97">
        <f t="shared" si="72"/>
        <v>3</v>
      </c>
      <c r="T37" s="56">
        <v>2</v>
      </c>
      <c r="U37" s="56" t="s">
        <v>0</v>
      </c>
      <c r="V37" s="57">
        <v>2</v>
      </c>
      <c r="W37" s="2">
        <f t="shared" si="73"/>
        <v>0</v>
      </c>
      <c r="X37" s="97">
        <f t="shared" si="74"/>
        <v>3</v>
      </c>
      <c r="Y37" s="74">
        <v>1</v>
      </c>
      <c r="Z37" s="56" t="s">
        <v>0</v>
      </c>
      <c r="AA37" s="76">
        <v>1</v>
      </c>
      <c r="AB37" s="2">
        <f t="shared" si="75"/>
        <v>0</v>
      </c>
      <c r="AC37" s="97">
        <f t="shared" si="76"/>
        <v>2</v>
      </c>
      <c r="AD37" s="56">
        <v>2</v>
      </c>
      <c r="AE37" s="56" t="s">
        <v>0</v>
      </c>
      <c r="AF37" s="57">
        <v>1</v>
      </c>
      <c r="AG37" s="2">
        <f t="shared" si="77"/>
        <v>1</v>
      </c>
      <c r="AH37" s="97">
        <f t="shared" si="78"/>
        <v>2</v>
      </c>
      <c r="AI37" s="56">
        <v>2</v>
      </c>
      <c r="AJ37" s="56" t="s">
        <v>0</v>
      </c>
      <c r="AK37" s="57">
        <v>0</v>
      </c>
      <c r="AL37" s="2">
        <f t="shared" si="79"/>
        <v>1</v>
      </c>
      <c r="AM37" s="97">
        <f t="shared" si="80"/>
        <v>1</v>
      </c>
      <c r="AN37" s="56">
        <v>1</v>
      </c>
      <c r="AO37" s="56" t="s">
        <v>0</v>
      </c>
      <c r="AP37" s="57">
        <v>2</v>
      </c>
      <c r="AQ37" s="2">
        <f t="shared" si="81"/>
        <v>0</v>
      </c>
      <c r="AR37" s="97">
        <f t="shared" si="82"/>
        <v>2</v>
      </c>
      <c r="AS37" s="56">
        <v>2</v>
      </c>
      <c r="AT37" s="56" t="s">
        <v>0</v>
      </c>
      <c r="AU37" s="57">
        <v>0</v>
      </c>
      <c r="AV37" s="2">
        <f t="shared" si="83"/>
        <v>1</v>
      </c>
      <c r="AW37" s="97">
        <f t="shared" si="84"/>
        <v>2</v>
      </c>
      <c r="AX37" s="56">
        <v>2</v>
      </c>
      <c r="AY37" s="56" t="s">
        <v>0</v>
      </c>
      <c r="AZ37" s="57">
        <v>0</v>
      </c>
      <c r="BA37" s="2">
        <f t="shared" si="53"/>
        <v>1</v>
      </c>
      <c r="BB37" s="97">
        <f t="shared" si="55"/>
        <v>2</v>
      </c>
      <c r="BC37" s="56">
        <v>2</v>
      </c>
      <c r="BD37" s="56" t="s">
        <v>0</v>
      </c>
      <c r="BE37" s="57">
        <v>0</v>
      </c>
      <c r="BF37" s="2">
        <f t="shared" si="56"/>
        <v>1</v>
      </c>
      <c r="BG37" s="97">
        <f t="shared" si="57"/>
        <v>3</v>
      </c>
      <c r="BH37" s="64">
        <v>1</v>
      </c>
      <c r="BI37" s="64" t="s">
        <v>0</v>
      </c>
      <c r="BJ37" s="65">
        <v>1</v>
      </c>
      <c r="BK37" s="2">
        <f t="shared" si="58"/>
        <v>0</v>
      </c>
      <c r="BL37" s="97">
        <f t="shared" si="59"/>
        <v>2</v>
      </c>
      <c r="BM37" s="56">
        <v>2</v>
      </c>
      <c r="BN37" s="56" t="s">
        <v>0</v>
      </c>
      <c r="BO37" s="57">
        <v>1</v>
      </c>
      <c r="BP37" s="2">
        <f t="shared" si="60"/>
        <v>1</v>
      </c>
      <c r="BQ37" s="97">
        <f t="shared" si="61"/>
        <v>3</v>
      </c>
      <c r="BR37" s="56"/>
      <c r="BS37" s="56" t="s">
        <v>0</v>
      </c>
      <c r="BT37" s="57"/>
      <c r="BU37" s="2">
        <f t="shared" si="62"/>
        <v>0</v>
      </c>
      <c r="BV37" s="97">
        <f t="shared" si="63"/>
        <v>3</v>
      </c>
      <c r="BW37" s="56"/>
      <c r="BX37" s="56" t="s">
        <v>0</v>
      </c>
      <c r="BY37" s="57"/>
      <c r="BZ37" s="2">
        <f t="shared" si="64"/>
        <v>0</v>
      </c>
      <c r="CA37" s="97">
        <f t="shared" si="65"/>
        <v>3</v>
      </c>
      <c r="CB37" s="25"/>
      <c r="CC37" s="12" t="s">
        <v>0</v>
      </c>
      <c r="CD37" s="26"/>
      <c r="CE37" s="2">
        <f t="shared" si="66"/>
        <v>0</v>
      </c>
    </row>
    <row r="38" spans="1:83" ht="13.8" hidden="1" outlineLevel="1">
      <c r="A38" s="71">
        <v>46194.083333333336</v>
      </c>
      <c r="B38" s="40" t="s">
        <v>107</v>
      </c>
      <c r="C38" s="41" t="s">
        <v>84</v>
      </c>
      <c r="D38" s="43">
        <v>0</v>
      </c>
      <c r="E38" s="44" t="s">
        <v>0</v>
      </c>
      <c r="F38" s="43">
        <v>0</v>
      </c>
      <c r="G38">
        <f t="shared" si="67"/>
        <v>3</v>
      </c>
      <c r="H38" s="45"/>
      <c r="I38" s="97">
        <f t="shared" si="68"/>
        <v>2</v>
      </c>
      <c r="J38" s="56">
        <v>3</v>
      </c>
      <c r="K38" s="56" t="s">
        <v>0</v>
      </c>
      <c r="L38" s="57">
        <v>0</v>
      </c>
      <c r="M38" s="2">
        <f t="shared" si="69"/>
        <v>0</v>
      </c>
      <c r="N38" s="97">
        <f t="shared" si="70"/>
        <v>1</v>
      </c>
      <c r="O38" s="56">
        <v>1</v>
      </c>
      <c r="P38" s="56" t="s">
        <v>0</v>
      </c>
      <c r="Q38" s="57">
        <v>2</v>
      </c>
      <c r="R38" s="2">
        <f t="shared" si="71"/>
        <v>0</v>
      </c>
      <c r="S38" s="97">
        <f t="shared" si="72"/>
        <v>2</v>
      </c>
      <c r="T38" s="56">
        <v>2</v>
      </c>
      <c r="U38" s="56" t="s">
        <v>0</v>
      </c>
      <c r="V38" s="57">
        <v>1</v>
      </c>
      <c r="W38" s="2">
        <f t="shared" si="73"/>
        <v>0</v>
      </c>
      <c r="X38" s="97">
        <f t="shared" si="74"/>
        <v>3</v>
      </c>
      <c r="Y38" s="74">
        <v>2</v>
      </c>
      <c r="Z38" s="56" t="s">
        <v>0</v>
      </c>
      <c r="AA38" s="76">
        <v>2</v>
      </c>
      <c r="AB38" s="2">
        <f t="shared" si="75"/>
        <v>1</v>
      </c>
      <c r="AC38" s="97">
        <f t="shared" si="76"/>
        <v>2</v>
      </c>
      <c r="AD38" s="56">
        <v>2</v>
      </c>
      <c r="AE38" s="56" t="s">
        <v>0</v>
      </c>
      <c r="AF38" s="57">
        <v>0</v>
      </c>
      <c r="AG38" s="2">
        <f t="shared" si="77"/>
        <v>0</v>
      </c>
      <c r="AH38" s="97">
        <f t="shared" si="78"/>
        <v>2</v>
      </c>
      <c r="AI38" s="56">
        <v>1</v>
      </c>
      <c r="AJ38" s="56" t="s">
        <v>0</v>
      </c>
      <c r="AK38" s="57">
        <v>0</v>
      </c>
      <c r="AL38" s="2">
        <f t="shared" si="79"/>
        <v>0</v>
      </c>
      <c r="AM38" s="97">
        <f t="shared" si="80"/>
        <v>2</v>
      </c>
      <c r="AN38" s="56">
        <v>1</v>
      </c>
      <c r="AO38" s="56" t="s">
        <v>0</v>
      </c>
      <c r="AP38" s="57">
        <v>0</v>
      </c>
      <c r="AQ38" s="2">
        <f t="shared" si="81"/>
        <v>0</v>
      </c>
      <c r="AR38" s="97">
        <f t="shared" si="82"/>
        <v>2</v>
      </c>
      <c r="AS38" s="56">
        <v>1</v>
      </c>
      <c r="AT38" s="56" t="s">
        <v>0</v>
      </c>
      <c r="AU38" s="57">
        <v>0</v>
      </c>
      <c r="AV38" s="2">
        <f t="shared" si="83"/>
        <v>0</v>
      </c>
      <c r="AW38" s="97">
        <f t="shared" si="84"/>
        <v>2</v>
      </c>
      <c r="AX38" s="56">
        <v>2</v>
      </c>
      <c r="AY38" s="56" t="s">
        <v>0</v>
      </c>
      <c r="AZ38" s="57">
        <v>0</v>
      </c>
      <c r="BA38" s="2">
        <f t="shared" si="53"/>
        <v>0</v>
      </c>
      <c r="BB38" s="97">
        <f t="shared" si="55"/>
        <v>2</v>
      </c>
      <c r="BC38" s="56">
        <v>2</v>
      </c>
      <c r="BD38" s="56" t="s">
        <v>0</v>
      </c>
      <c r="BE38" s="57">
        <v>1</v>
      </c>
      <c r="BF38" s="2">
        <f t="shared" si="56"/>
        <v>0</v>
      </c>
      <c r="BG38" s="97">
        <f t="shared" si="57"/>
        <v>2</v>
      </c>
      <c r="BH38" s="64">
        <v>3</v>
      </c>
      <c r="BI38" s="64" t="s">
        <v>0</v>
      </c>
      <c r="BJ38" s="65">
        <v>0</v>
      </c>
      <c r="BK38" s="2">
        <f t="shared" si="58"/>
        <v>0</v>
      </c>
      <c r="BL38" s="97">
        <f t="shared" si="59"/>
        <v>2</v>
      </c>
      <c r="BM38" s="56">
        <v>2</v>
      </c>
      <c r="BN38" s="56" t="s">
        <v>0</v>
      </c>
      <c r="BO38" s="57">
        <v>0</v>
      </c>
      <c r="BP38" s="2">
        <f t="shared" si="60"/>
        <v>0</v>
      </c>
      <c r="BQ38" s="97">
        <f t="shared" si="61"/>
        <v>3</v>
      </c>
      <c r="BR38" s="56"/>
      <c r="BS38" s="56" t="s">
        <v>0</v>
      </c>
      <c r="BT38" s="57"/>
      <c r="BU38" s="2">
        <f t="shared" si="62"/>
        <v>0</v>
      </c>
      <c r="BV38" s="97">
        <f t="shared" si="63"/>
        <v>3</v>
      </c>
      <c r="BW38" s="56"/>
      <c r="BX38" s="56" t="s">
        <v>0</v>
      </c>
      <c r="BY38" s="57"/>
      <c r="BZ38" s="2">
        <f t="shared" si="64"/>
        <v>0</v>
      </c>
      <c r="CA38" s="97">
        <f t="shared" si="65"/>
        <v>3</v>
      </c>
      <c r="CB38" s="25"/>
      <c r="CC38" s="12" t="s">
        <v>0</v>
      </c>
      <c r="CD38" s="26"/>
      <c r="CE38" s="2">
        <f t="shared" si="66"/>
        <v>0</v>
      </c>
    </row>
    <row r="39" spans="1:83" ht="13.8" hidden="1" outlineLevel="1">
      <c r="A39" s="71">
        <v>46194.25</v>
      </c>
      <c r="B39" s="40" t="s">
        <v>109</v>
      </c>
      <c r="C39" s="41" t="s">
        <v>105</v>
      </c>
      <c r="D39" s="43">
        <v>0</v>
      </c>
      <c r="E39" s="44" t="s">
        <v>0</v>
      </c>
      <c r="F39" s="43">
        <v>4</v>
      </c>
      <c r="G39">
        <f t="shared" si="67"/>
        <v>1</v>
      </c>
      <c r="H39" s="45"/>
      <c r="I39" s="97">
        <f t="shared" si="68"/>
        <v>1</v>
      </c>
      <c r="J39" s="56">
        <v>1</v>
      </c>
      <c r="K39" s="56" t="s">
        <v>0</v>
      </c>
      <c r="L39" s="57">
        <v>2</v>
      </c>
      <c r="M39" s="2">
        <f t="shared" si="69"/>
        <v>1</v>
      </c>
      <c r="N39" s="97">
        <f t="shared" si="70"/>
        <v>1</v>
      </c>
      <c r="O39" s="56">
        <v>0</v>
      </c>
      <c r="P39" s="56" t="s">
        <v>0</v>
      </c>
      <c r="Q39" s="57">
        <v>1</v>
      </c>
      <c r="R39" s="2">
        <f t="shared" si="71"/>
        <v>1</v>
      </c>
      <c r="S39" s="97">
        <f t="shared" si="72"/>
        <v>1</v>
      </c>
      <c r="T39" s="56">
        <v>0</v>
      </c>
      <c r="U39" s="56" t="s">
        <v>0</v>
      </c>
      <c r="V39" s="57">
        <v>2</v>
      </c>
      <c r="W39" s="2">
        <f t="shared" si="73"/>
        <v>1</v>
      </c>
      <c r="X39" s="97">
        <f t="shared" si="74"/>
        <v>1</v>
      </c>
      <c r="Y39" s="74">
        <v>0</v>
      </c>
      <c r="Z39" s="56" t="s">
        <v>0</v>
      </c>
      <c r="AA39" s="76">
        <v>2</v>
      </c>
      <c r="AB39" s="2">
        <f t="shared" si="75"/>
        <v>1</v>
      </c>
      <c r="AC39" s="97">
        <f t="shared" si="76"/>
        <v>3</v>
      </c>
      <c r="AD39" s="56">
        <v>1</v>
      </c>
      <c r="AE39" s="56" t="s">
        <v>0</v>
      </c>
      <c r="AF39" s="57">
        <v>1</v>
      </c>
      <c r="AG39" s="2">
        <f t="shared" si="77"/>
        <v>0</v>
      </c>
      <c r="AH39" s="97">
        <f t="shared" si="78"/>
        <v>1</v>
      </c>
      <c r="AI39" s="56">
        <v>0</v>
      </c>
      <c r="AJ39" s="56" t="s">
        <v>0</v>
      </c>
      <c r="AK39" s="57">
        <v>1</v>
      </c>
      <c r="AL39" s="2">
        <f t="shared" si="79"/>
        <v>1</v>
      </c>
      <c r="AM39" s="97">
        <f t="shared" si="80"/>
        <v>2</v>
      </c>
      <c r="AN39" s="56">
        <v>1</v>
      </c>
      <c r="AO39" s="56" t="s">
        <v>0</v>
      </c>
      <c r="AP39" s="57">
        <v>0</v>
      </c>
      <c r="AQ39" s="2">
        <f t="shared" si="81"/>
        <v>0</v>
      </c>
      <c r="AR39" s="97">
        <f t="shared" si="82"/>
        <v>3</v>
      </c>
      <c r="AS39" s="56">
        <v>1</v>
      </c>
      <c r="AT39" s="56" t="s">
        <v>0</v>
      </c>
      <c r="AU39" s="57">
        <v>1</v>
      </c>
      <c r="AV39" s="2">
        <f t="shared" si="83"/>
        <v>0</v>
      </c>
      <c r="AW39" s="97">
        <f t="shared" si="84"/>
        <v>1</v>
      </c>
      <c r="AX39" s="56">
        <v>0</v>
      </c>
      <c r="AY39" s="56" t="s">
        <v>0</v>
      </c>
      <c r="AZ39" s="57">
        <v>2</v>
      </c>
      <c r="BA39" s="2">
        <f t="shared" si="53"/>
        <v>1</v>
      </c>
      <c r="BB39" s="97">
        <f t="shared" si="55"/>
        <v>1</v>
      </c>
      <c r="BC39" s="56">
        <v>0</v>
      </c>
      <c r="BD39" s="56" t="s">
        <v>0</v>
      </c>
      <c r="BE39" s="57">
        <v>1</v>
      </c>
      <c r="BF39" s="2">
        <f t="shared" si="56"/>
        <v>1</v>
      </c>
      <c r="BG39" s="97">
        <f t="shared" si="57"/>
        <v>2</v>
      </c>
      <c r="BH39" s="64">
        <v>1</v>
      </c>
      <c r="BI39" s="64" t="s">
        <v>0</v>
      </c>
      <c r="BJ39" s="65">
        <v>0</v>
      </c>
      <c r="BK39" s="2">
        <f t="shared" si="58"/>
        <v>0</v>
      </c>
      <c r="BL39" s="97">
        <f t="shared" si="59"/>
        <v>2</v>
      </c>
      <c r="BM39" s="56">
        <v>1</v>
      </c>
      <c r="BN39" s="56" t="s">
        <v>0</v>
      </c>
      <c r="BO39" s="57">
        <v>0</v>
      </c>
      <c r="BP39" s="2">
        <f t="shared" si="60"/>
        <v>0</v>
      </c>
      <c r="BQ39" s="97">
        <f t="shared" si="61"/>
        <v>3</v>
      </c>
      <c r="BR39" s="56"/>
      <c r="BS39" s="56" t="s">
        <v>0</v>
      </c>
      <c r="BT39" s="57"/>
      <c r="BU39" s="2">
        <f t="shared" si="62"/>
        <v>0</v>
      </c>
      <c r="BV39" s="97">
        <f t="shared" si="63"/>
        <v>3</v>
      </c>
      <c r="BW39" s="56"/>
      <c r="BX39" s="56" t="s">
        <v>0</v>
      </c>
      <c r="BY39" s="57"/>
      <c r="BZ39" s="2">
        <f t="shared" si="64"/>
        <v>0</v>
      </c>
      <c r="CA39" s="97">
        <f t="shared" si="65"/>
        <v>3</v>
      </c>
      <c r="CB39" s="25"/>
      <c r="CC39" s="12" t="s">
        <v>0</v>
      </c>
      <c r="CD39" s="26"/>
      <c r="CE39" s="2">
        <f t="shared" si="66"/>
        <v>0</v>
      </c>
    </row>
    <row r="40" spans="1:83" ht="13.8" hidden="1" outlineLevel="1">
      <c r="A40" s="71">
        <v>46194.875</v>
      </c>
      <c r="B40" s="40" t="s">
        <v>111</v>
      </c>
      <c r="C40" s="41" t="s">
        <v>80</v>
      </c>
      <c r="D40" s="43">
        <v>0</v>
      </c>
      <c r="E40" s="44" t="s">
        <v>0</v>
      </c>
      <c r="F40" s="43">
        <v>0</v>
      </c>
      <c r="G40">
        <f t="shared" si="67"/>
        <v>3</v>
      </c>
      <c r="H40" s="45"/>
      <c r="I40" s="97">
        <f t="shared" si="68"/>
        <v>2</v>
      </c>
      <c r="J40" s="56">
        <v>3</v>
      </c>
      <c r="K40" s="56" t="s">
        <v>0</v>
      </c>
      <c r="L40" s="57">
        <v>0</v>
      </c>
      <c r="M40" s="2">
        <f t="shared" si="69"/>
        <v>0</v>
      </c>
      <c r="N40" s="97">
        <f t="shared" si="70"/>
        <v>3</v>
      </c>
      <c r="O40" s="56">
        <v>2</v>
      </c>
      <c r="P40" s="56" t="s">
        <v>0</v>
      </c>
      <c r="Q40" s="57">
        <v>2</v>
      </c>
      <c r="R40" s="2">
        <f t="shared" si="71"/>
        <v>1</v>
      </c>
      <c r="S40" s="97">
        <f t="shared" si="72"/>
        <v>2</v>
      </c>
      <c r="T40" s="56">
        <v>1</v>
      </c>
      <c r="U40" s="56" t="s">
        <v>0</v>
      </c>
      <c r="V40" s="57">
        <v>0</v>
      </c>
      <c r="W40" s="2">
        <f t="shared" si="73"/>
        <v>0</v>
      </c>
      <c r="X40" s="97">
        <f t="shared" si="74"/>
        <v>2</v>
      </c>
      <c r="Y40" s="74">
        <v>2</v>
      </c>
      <c r="Z40" s="56" t="s">
        <v>0</v>
      </c>
      <c r="AA40" s="76">
        <v>0</v>
      </c>
      <c r="AB40" s="2">
        <f t="shared" si="75"/>
        <v>0</v>
      </c>
      <c r="AC40" s="97">
        <f t="shared" si="76"/>
        <v>2</v>
      </c>
      <c r="AD40" s="56">
        <v>2</v>
      </c>
      <c r="AE40" s="56" t="s">
        <v>0</v>
      </c>
      <c r="AF40" s="57">
        <v>1</v>
      </c>
      <c r="AG40" s="2">
        <f t="shared" si="77"/>
        <v>0</v>
      </c>
      <c r="AH40" s="97">
        <f t="shared" si="78"/>
        <v>1</v>
      </c>
      <c r="AI40" s="56">
        <v>1</v>
      </c>
      <c r="AJ40" s="56" t="s">
        <v>0</v>
      </c>
      <c r="AK40" s="57">
        <v>2</v>
      </c>
      <c r="AL40" s="2">
        <f t="shared" si="79"/>
        <v>0</v>
      </c>
      <c r="AM40" s="97">
        <f t="shared" si="80"/>
        <v>1</v>
      </c>
      <c r="AN40" s="56">
        <v>1</v>
      </c>
      <c r="AO40" s="56" t="s">
        <v>0</v>
      </c>
      <c r="AP40" s="57">
        <v>2</v>
      </c>
      <c r="AQ40" s="2">
        <f t="shared" si="81"/>
        <v>0</v>
      </c>
      <c r="AR40" s="97">
        <f t="shared" si="82"/>
        <v>2</v>
      </c>
      <c r="AS40" s="56">
        <v>2</v>
      </c>
      <c r="AT40" s="56" t="s">
        <v>0</v>
      </c>
      <c r="AU40" s="57">
        <v>1</v>
      </c>
      <c r="AV40" s="2">
        <f t="shared" si="83"/>
        <v>0</v>
      </c>
      <c r="AW40" s="97">
        <f t="shared" si="84"/>
        <v>2</v>
      </c>
      <c r="AX40" s="56">
        <v>2</v>
      </c>
      <c r="AY40" s="56" t="s">
        <v>0</v>
      </c>
      <c r="AZ40" s="57">
        <v>0</v>
      </c>
      <c r="BA40" s="2">
        <f t="shared" si="53"/>
        <v>0</v>
      </c>
      <c r="BB40" s="97">
        <f t="shared" si="55"/>
        <v>2</v>
      </c>
      <c r="BC40" s="56">
        <v>2</v>
      </c>
      <c r="BD40" s="56" t="s">
        <v>0</v>
      </c>
      <c r="BE40" s="57">
        <v>0</v>
      </c>
      <c r="BF40" s="2">
        <f t="shared" si="56"/>
        <v>0</v>
      </c>
      <c r="BG40" s="97">
        <f t="shared" si="57"/>
        <v>2</v>
      </c>
      <c r="BH40" s="64">
        <v>2</v>
      </c>
      <c r="BI40" s="64" t="s">
        <v>0</v>
      </c>
      <c r="BJ40" s="65">
        <v>0</v>
      </c>
      <c r="BK40" s="2">
        <f t="shared" si="58"/>
        <v>0</v>
      </c>
      <c r="BL40" s="97">
        <f t="shared" si="59"/>
        <v>2</v>
      </c>
      <c r="BM40" s="56">
        <v>2</v>
      </c>
      <c r="BN40" s="56" t="s">
        <v>0</v>
      </c>
      <c r="BO40" s="57">
        <v>0</v>
      </c>
      <c r="BP40" s="2">
        <f t="shared" si="60"/>
        <v>0</v>
      </c>
      <c r="BQ40" s="97">
        <f t="shared" si="61"/>
        <v>3</v>
      </c>
      <c r="BR40" s="56"/>
      <c r="BS40" s="56" t="s">
        <v>0</v>
      </c>
      <c r="BT40" s="57"/>
      <c r="BU40" s="2">
        <f t="shared" si="62"/>
        <v>0</v>
      </c>
      <c r="BV40" s="97">
        <f t="shared" si="63"/>
        <v>3</v>
      </c>
      <c r="BW40" s="56"/>
      <c r="BX40" s="56" t="s">
        <v>0</v>
      </c>
      <c r="BY40" s="57"/>
      <c r="BZ40" s="2">
        <f t="shared" si="64"/>
        <v>0</v>
      </c>
      <c r="CA40" s="97">
        <f t="shared" si="65"/>
        <v>3</v>
      </c>
      <c r="CB40" s="25"/>
      <c r="CC40" s="12" t="s">
        <v>0</v>
      </c>
      <c r="CD40" s="26"/>
      <c r="CE40" s="2">
        <f t="shared" si="66"/>
        <v>0</v>
      </c>
    </row>
    <row r="41" spans="1:83" ht="13.8" hidden="1" outlineLevel="1">
      <c r="A41" s="71">
        <v>46194.75</v>
      </c>
      <c r="B41" s="40" t="s">
        <v>91</v>
      </c>
      <c r="C41" s="41" t="s">
        <v>113</v>
      </c>
      <c r="D41" s="43">
        <v>4</v>
      </c>
      <c r="E41" s="44" t="s">
        <v>0</v>
      </c>
      <c r="F41" s="43">
        <v>0</v>
      </c>
      <c r="G41">
        <f t="shared" si="67"/>
        <v>2</v>
      </c>
      <c r="H41" s="45"/>
      <c r="I41" s="97">
        <f t="shared" si="68"/>
        <v>2</v>
      </c>
      <c r="J41" s="56">
        <v>3</v>
      </c>
      <c r="K41" s="56" t="s">
        <v>0</v>
      </c>
      <c r="L41" s="57">
        <v>0</v>
      </c>
      <c r="M41" s="2">
        <f t="shared" si="69"/>
        <v>1</v>
      </c>
      <c r="N41" s="97">
        <f t="shared" si="70"/>
        <v>2</v>
      </c>
      <c r="O41" s="56">
        <v>2</v>
      </c>
      <c r="P41" s="56" t="s">
        <v>0</v>
      </c>
      <c r="Q41" s="57">
        <v>0</v>
      </c>
      <c r="R41" s="2">
        <f t="shared" si="71"/>
        <v>1</v>
      </c>
      <c r="S41" s="97">
        <f t="shared" si="72"/>
        <v>2</v>
      </c>
      <c r="T41" s="56">
        <v>2</v>
      </c>
      <c r="U41" s="56" t="s">
        <v>0</v>
      </c>
      <c r="V41" s="57">
        <v>1</v>
      </c>
      <c r="W41" s="2">
        <f t="shared" si="73"/>
        <v>1</v>
      </c>
      <c r="X41" s="97">
        <f t="shared" si="74"/>
        <v>2</v>
      </c>
      <c r="Y41" s="74">
        <v>3</v>
      </c>
      <c r="Z41" s="56" t="s">
        <v>0</v>
      </c>
      <c r="AA41" s="76">
        <v>1</v>
      </c>
      <c r="AB41" s="2">
        <f t="shared" si="75"/>
        <v>1</v>
      </c>
      <c r="AC41" s="97">
        <f t="shared" si="76"/>
        <v>2</v>
      </c>
      <c r="AD41" s="56">
        <v>2</v>
      </c>
      <c r="AE41" s="56" t="s">
        <v>0</v>
      </c>
      <c r="AF41" s="57">
        <v>0</v>
      </c>
      <c r="AG41" s="2">
        <f t="shared" si="77"/>
        <v>1</v>
      </c>
      <c r="AH41" s="97">
        <f t="shared" si="78"/>
        <v>2</v>
      </c>
      <c r="AI41" s="56">
        <v>4</v>
      </c>
      <c r="AJ41" s="56" t="s">
        <v>0</v>
      </c>
      <c r="AK41" s="57">
        <v>0</v>
      </c>
      <c r="AL41" s="2">
        <f t="shared" si="79"/>
        <v>3</v>
      </c>
      <c r="AM41" s="97">
        <f t="shared" si="80"/>
        <v>2</v>
      </c>
      <c r="AN41" s="56">
        <v>4</v>
      </c>
      <c r="AO41" s="56" t="s">
        <v>0</v>
      </c>
      <c r="AP41" s="57">
        <v>1</v>
      </c>
      <c r="AQ41" s="2">
        <f t="shared" si="81"/>
        <v>1</v>
      </c>
      <c r="AR41" s="97">
        <f t="shared" si="82"/>
        <v>2</v>
      </c>
      <c r="AS41" s="56">
        <v>2</v>
      </c>
      <c r="AT41" s="56" t="s">
        <v>0</v>
      </c>
      <c r="AU41" s="57">
        <v>0</v>
      </c>
      <c r="AV41" s="2">
        <f t="shared" si="83"/>
        <v>1</v>
      </c>
      <c r="AW41" s="97">
        <f t="shared" si="84"/>
        <v>2</v>
      </c>
      <c r="AX41" s="56">
        <v>2</v>
      </c>
      <c r="AY41" s="56" t="s">
        <v>0</v>
      </c>
      <c r="AZ41" s="57">
        <v>0</v>
      </c>
      <c r="BA41" s="2">
        <f t="shared" si="53"/>
        <v>1</v>
      </c>
      <c r="BB41" s="97">
        <f t="shared" si="55"/>
        <v>2</v>
      </c>
      <c r="BC41" s="56">
        <v>2</v>
      </c>
      <c r="BD41" s="56" t="s">
        <v>0</v>
      </c>
      <c r="BE41" s="57">
        <v>0</v>
      </c>
      <c r="BF41" s="2">
        <f t="shared" si="56"/>
        <v>1</v>
      </c>
      <c r="BG41" s="97">
        <f t="shared" si="57"/>
        <v>2</v>
      </c>
      <c r="BH41" s="64">
        <v>4</v>
      </c>
      <c r="BI41" s="64" t="s">
        <v>0</v>
      </c>
      <c r="BJ41" s="65">
        <v>0</v>
      </c>
      <c r="BK41" s="2">
        <f t="shared" si="58"/>
        <v>3</v>
      </c>
      <c r="BL41" s="97">
        <f t="shared" si="59"/>
        <v>2</v>
      </c>
      <c r="BM41" s="56">
        <v>2</v>
      </c>
      <c r="BN41" s="56" t="s">
        <v>0</v>
      </c>
      <c r="BO41" s="57">
        <v>0</v>
      </c>
      <c r="BP41" s="2">
        <f t="shared" si="60"/>
        <v>1</v>
      </c>
      <c r="BQ41" s="97">
        <f t="shared" si="61"/>
        <v>3</v>
      </c>
      <c r="BR41" s="56"/>
      <c r="BS41" s="56" t="s">
        <v>0</v>
      </c>
      <c r="BT41" s="57"/>
      <c r="BU41" s="2">
        <f t="shared" si="62"/>
        <v>0</v>
      </c>
      <c r="BV41" s="97">
        <f t="shared" si="63"/>
        <v>3</v>
      </c>
      <c r="BW41" s="56"/>
      <c r="BX41" s="56" t="s">
        <v>0</v>
      </c>
      <c r="BY41" s="57"/>
      <c r="BZ41" s="2">
        <f t="shared" si="64"/>
        <v>0</v>
      </c>
      <c r="CA41" s="97">
        <f t="shared" si="65"/>
        <v>3</v>
      </c>
      <c r="CB41" s="25"/>
      <c r="CC41" s="12" t="s">
        <v>0</v>
      </c>
      <c r="CD41" s="26"/>
      <c r="CE41" s="2">
        <f t="shared" si="66"/>
        <v>0</v>
      </c>
    </row>
    <row r="42" spans="1:83" ht="13.8" hidden="1" outlineLevel="1">
      <c r="A42" s="71">
        <v>46195.125</v>
      </c>
      <c r="B42" s="40" t="s">
        <v>115</v>
      </c>
      <c r="C42" s="41" t="s">
        <v>112</v>
      </c>
      <c r="D42" s="43">
        <v>1</v>
      </c>
      <c r="E42" s="44" t="s">
        <v>0</v>
      </c>
      <c r="F42" s="43">
        <v>3</v>
      </c>
      <c r="G42">
        <f t="shared" si="67"/>
        <v>1</v>
      </c>
      <c r="H42" s="45"/>
      <c r="I42" s="97">
        <f t="shared" si="68"/>
        <v>2</v>
      </c>
      <c r="J42" s="56">
        <v>2</v>
      </c>
      <c r="K42" s="56" t="s">
        <v>0</v>
      </c>
      <c r="L42" s="57">
        <v>1</v>
      </c>
      <c r="M42" s="2">
        <f t="shared" si="69"/>
        <v>0</v>
      </c>
      <c r="N42" s="97">
        <f t="shared" si="70"/>
        <v>1</v>
      </c>
      <c r="O42" s="56">
        <v>1</v>
      </c>
      <c r="P42" s="56" t="s">
        <v>0</v>
      </c>
      <c r="Q42" s="57">
        <v>3</v>
      </c>
      <c r="R42" s="2">
        <f t="shared" si="71"/>
        <v>3</v>
      </c>
      <c r="S42" s="97">
        <f t="shared" si="72"/>
        <v>1</v>
      </c>
      <c r="T42" s="56">
        <v>0</v>
      </c>
      <c r="U42" s="56" t="s">
        <v>0</v>
      </c>
      <c r="V42" s="57">
        <v>3</v>
      </c>
      <c r="W42" s="2">
        <f t="shared" si="73"/>
        <v>1</v>
      </c>
      <c r="X42" s="97">
        <f t="shared" si="74"/>
        <v>3</v>
      </c>
      <c r="Y42" s="74">
        <v>1</v>
      </c>
      <c r="Z42" s="56" t="s">
        <v>0</v>
      </c>
      <c r="AA42" s="76">
        <v>1</v>
      </c>
      <c r="AB42" s="2">
        <f t="shared" si="75"/>
        <v>0</v>
      </c>
      <c r="AC42" s="97">
        <f t="shared" si="76"/>
        <v>3</v>
      </c>
      <c r="AD42" s="56">
        <v>1</v>
      </c>
      <c r="AE42" s="56" t="s">
        <v>0</v>
      </c>
      <c r="AF42" s="57">
        <v>1</v>
      </c>
      <c r="AG42" s="2">
        <f t="shared" si="77"/>
        <v>0</v>
      </c>
      <c r="AH42" s="97">
        <f t="shared" si="78"/>
        <v>1</v>
      </c>
      <c r="AI42" s="56">
        <v>0</v>
      </c>
      <c r="AJ42" s="56" t="s">
        <v>0</v>
      </c>
      <c r="AK42" s="57">
        <v>1</v>
      </c>
      <c r="AL42" s="2">
        <f t="shared" si="79"/>
        <v>1</v>
      </c>
      <c r="AM42" s="97">
        <f t="shared" si="80"/>
        <v>1</v>
      </c>
      <c r="AN42" s="56">
        <v>1</v>
      </c>
      <c r="AO42" s="56" t="s">
        <v>0</v>
      </c>
      <c r="AP42" s="57">
        <v>2</v>
      </c>
      <c r="AQ42" s="2">
        <f t="shared" si="81"/>
        <v>1</v>
      </c>
      <c r="AR42" s="97">
        <f t="shared" si="82"/>
        <v>1</v>
      </c>
      <c r="AS42" s="56">
        <v>0</v>
      </c>
      <c r="AT42" s="56" t="s">
        <v>0</v>
      </c>
      <c r="AU42" s="57">
        <v>1</v>
      </c>
      <c r="AV42" s="2">
        <f t="shared" si="83"/>
        <v>1</v>
      </c>
      <c r="AW42" s="97">
        <f t="shared" si="84"/>
        <v>1</v>
      </c>
      <c r="AX42" s="56">
        <v>1</v>
      </c>
      <c r="AY42" s="56" t="s">
        <v>0</v>
      </c>
      <c r="AZ42" s="57">
        <v>3</v>
      </c>
      <c r="BA42" s="2">
        <f t="shared" si="53"/>
        <v>3</v>
      </c>
      <c r="BB42" s="97">
        <f t="shared" si="55"/>
        <v>1</v>
      </c>
      <c r="BC42" s="56">
        <v>0</v>
      </c>
      <c r="BD42" s="56" t="s">
        <v>0</v>
      </c>
      <c r="BE42" s="57">
        <v>1</v>
      </c>
      <c r="BF42" s="2">
        <f t="shared" si="56"/>
        <v>1</v>
      </c>
      <c r="BG42" s="97">
        <f t="shared" si="57"/>
        <v>1</v>
      </c>
      <c r="BH42" s="64">
        <v>0</v>
      </c>
      <c r="BI42" s="64" t="s">
        <v>0</v>
      </c>
      <c r="BJ42" s="65">
        <v>3</v>
      </c>
      <c r="BK42" s="2">
        <f t="shared" si="58"/>
        <v>1</v>
      </c>
      <c r="BL42" s="97">
        <f t="shared" si="59"/>
        <v>1</v>
      </c>
      <c r="BM42" s="56">
        <v>0</v>
      </c>
      <c r="BN42" s="56" t="s">
        <v>0</v>
      </c>
      <c r="BO42" s="57">
        <v>1</v>
      </c>
      <c r="BP42" s="2">
        <f t="shared" si="60"/>
        <v>1</v>
      </c>
      <c r="BQ42" s="97">
        <f t="shared" si="61"/>
        <v>3</v>
      </c>
      <c r="BR42" s="56"/>
      <c r="BS42" s="56" t="s">
        <v>0</v>
      </c>
      <c r="BT42" s="57"/>
      <c r="BU42" s="2">
        <f t="shared" si="62"/>
        <v>0</v>
      </c>
      <c r="BV42" s="97">
        <f t="shared" si="63"/>
        <v>3</v>
      </c>
      <c r="BW42" s="56"/>
      <c r="BX42" s="56" t="s">
        <v>0</v>
      </c>
      <c r="BY42" s="57"/>
      <c r="BZ42" s="2">
        <f t="shared" si="64"/>
        <v>0</v>
      </c>
      <c r="CA42" s="97">
        <f t="shared" si="65"/>
        <v>3</v>
      </c>
      <c r="CB42" s="25"/>
      <c r="CC42" s="12" t="s">
        <v>0</v>
      </c>
      <c r="CD42" s="26"/>
      <c r="CE42" s="2">
        <f t="shared" si="66"/>
        <v>0</v>
      </c>
    </row>
    <row r="43" spans="1:83" ht="13.8" hidden="1" outlineLevel="1">
      <c r="A43" s="71">
        <v>46195</v>
      </c>
      <c r="B43" s="40" t="s">
        <v>114</v>
      </c>
      <c r="C43" s="41" t="s">
        <v>137</v>
      </c>
      <c r="D43" s="112">
        <v>2</v>
      </c>
      <c r="E43" s="44" t="s">
        <v>0</v>
      </c>
      <c r="F43" s="43">
        <v>2</v>
      </c>
      <c r="G43">
        <f t="shared" si="67"/>
        <v>3</v>
      </c>
      <c r="H43" s="45"/>
      <c r="I43" s="97">
        <f t="shared" si="68"/>
        <v>2</v>
      </c>
      <c r="J43" s="56">
        <v>2</v>
      </c>
      <c r="K43" s="56" t="s">
        <v>0</v>
      </c>
      <c r="L43" s="57">
        <v>1</v>
      </c>
      <c r="M43" s="2">
        <f t="shared" si="69"/>
        <v>0</v>
      </c>
      <c r="N43" s="97">
        <f t="shared" si="70"/>
        <v>1</v>
      </c>
      <c r="O43" s="56">
        <v>0</v>
      </c>
      <c r="P43" s="56" t="s">
        <v>0</v>
      </c>
      <c r="Q43" s="57">
        <v>2</v>
      </c>
      <c r="R43" s="2">
        <f t="shared" si="71"/>
        <v>0</v>
      </c>
      <c r="S43" s="97">
        <f t="shared" si="72"/>
        <v>2</v>
      </c>
      <c r="T43" s="56">
        <v>3</v>
      </c>
      <c r="U43" s="56" t="s">
        <v>0</v>
      </c>
      <c r="V43" s="57">
        <v>1</v>
      </c>
      <c r="W43" s="2">
        <f t="shared" si="73"/>
        <v>0</v>
      </c>
      <c r="X43" s="97">
        <f t="shared" si="74"/>
        <v>2</v>
      </c>
      <c r="Y43" s="74">
        <v>1</v>
      </c>
      <c r="Z43" s="56" t="s">
        <v>0</v>
      </c>
      <c r="AA43" s="76">
        <v>0</v>
      </c>
      <c r="AB43" s="2">
        <f t="shared" si="75"/>
        <v>0</v>
      </c>
      <c r="AC43" s="97">
        <f t="shared" si="76"/>
        <v>2</v>
      </c>
      <c r="AD43" s="56">
        <v>1</v>
      </c>
      <c r="AE43" s="56" t="s">
        <v>0</v>
      </c>
      <c r="AF43" s="57">
        <v>0</v>
      </c>
      <c r="AG43" s="2">
        <f t="shared" si="77"/>
        <v>0</v>
      </c>
      <c r="AH43" s="97">
        <f t="shared" si="78"/>
        <v>2</v>
      </c>
      <c r="AI43" s="56">
        <v>2</v>
      </c>
      <c r="AJ43" s="56" t="s">
        <v>0</v>
      </c>
      <c r="AK43" s="57">
        <v>0</v>
      </c>
      <c r="AL43" s="2">
        <f t="shared" si="79"/>
        <v>0</v>
      </c>
      <c r="AM43" s="97">
        <f t="shared" si="80"/>
        <v>2</v>
      </c>
      <c r="AN43" s="56">
        <v>2</v>
      </c>
      <c r="AO43" s="56" t="s">
        <v>0</v>
      </c>
      <c r="AP43" s="57">
        <v>0</v>
      </c>
      <c r="AQ43" s="2">
        <f t="shared" si="81"/>
        <v>0</v>
      </c>
      <c r="AR43" s="97">
        <f t="shared" si="82"/>
        <v>2</v>
      </c>
      <c r="AS43" s="56">
        <v>3</v>
      </c>
      <c r="AT43" s="56" t="s">
        <v>0</v>
      </c>
      <c r="AU43" s="57">
        <v>0</v>
      </c>
      <c r="AV43" s="2">
        <f t="shared" si="83"/>
        <v>0</v>
      </c>
      <c r="AW43" s="97">
        <f t="shared" si="84"/>
        <v>2</v>
      </c>
      <c r="AX43" s="56">
        <v>3</v>
      </c>
      <c r="AY43" s="56" t="s">
        <v>0</v>
      </c>
      <c r="AZ43" s="57">
        <v>2</v>
      </c>
      <c r="BA43" s="2">
        <f t="shared" si="53"/>
        <v>0</v>
      </c>
      <c r="BB43" s="97">
        <f t="shared" si="55"/>
        <v>2</v>
      </c>
      <c r="BC43" s="56">
        <v>2</v>
      </c>
      <c r="BD43" s="56" t="s">
        <v>0</v>
      </c>
      <c r="BE43" s="57">
        <v>0</v>
      </c>
      <c r="BF43" s="2">
        <f t="shared" si="56"/>
        <v>0</v>
      </c>
      <c r="BG43" s="97">
        <f t="shared" si="57"/>
        <v>1</v>
      </c>
      <c r="BH43" s="64">
        <v>1</v>
      </c>
      <c r="BI43" s="64" t="s">
        <v>0</v>
      </c>
      <c r="BJ43" s="65">
        <v>2</v>
      </c>
      <c r="BK43" s="2">
        <f t="shared" si="58"/>
        <v>0</v>
      </c>
      <c r="BL43" s="97">
        <f t="shared" si="59"/>
        <v>2</v>
      </c>
      <c r="BM43" s="56">
        <v>2</v>
      </c>
      <c r="BN43" s="56" t="s">
        <v>0</v>
      </c>
      <c r="BO43" s="57">
        <v>0</v>
      </c>
      <c r="BP43" s="2">
        <f t="shared" si="60"/>
        <v>0</v>
      </c>
      <c r="BQ43" s="97">
        <f t="shared" si="61"/>
        <v>3</v>
      </c>
      <c r="BR43" s="56"/>
      <c r="BS43" s="56" t="s">
        <v>0</v>
      </c>
      <c r="BT43" s="57"/>
      <c r="BU43" s="2">
        <f t="shared" si="62"/>
        <v>0</v>
      </c>
      <c r="BV43" s="97">
        <f t="shared" si="63"/>
        <v>3</v>
      </c>
      <c r="BW43" s="56"/>
      <c r="BX43" s="56" t="s">
        <v>0</v>
      </c>
      <c r="BY43" s="57"/>
      <c r="BZ43" s="2">
        <f t="shared" si="64"/>
        <v>0</v>
      </c>
      <c r="CA43" s="97">
        <f t="shared" si="65"/>
        <v>3</v>
      </c>
      <c r="CB43" s="25"/>
      <c r="CC43" s="12" t="s">
        <v>0</v>
      </c>
      <c r="CD43" s="26"/>
      <c r="CE43" s="2">
        <f t="shared" si="66"/>
        <v>0</v>
      </c>
    </row>
    <row r="44" spans="1:83" ht="13.8" hidden="1" outlineLevel="1">
      <c r="A44" s="71">
        <v>46195.958333333336</v>
      </c>
      <c r="B44" s="40" t="s">
        <v>116</v>
      </c>
      <c r="C44" s="41" t="s">
        <v>117</v>
      </c>
      <c r="D44" s="43">
        <v>3</v>
      </c>
      <c r="E44" s="44" t="s">
        <v>0</v>
      </c>
      <c r="F44" s="43">
        <v>0</v>
      </c>
      <c r="G44">
        <f t="shared" si="67"/>
        <v>2</v>
      </c>
      <c r="H44" s="45"/>
      <c r="I44" s="97">
        <f t="shared" si="68"/>
        <v>2</v>
      </c>
      <c r="J44" s="56">
        <v>3</v>
      </c>
      <c r="K44" s="56" t="s">
        <v>0</v>
      </c>
      <c r="L44" s="57">
        <v>0</v>
      </c>
      <c r="M44" s="2">
        <f t="shared" si="69"/>
        <v>3</v>
      </c>
      <c r="N44" s="97">
        <f t="shared" si="70"/>
        <v>2</v>
      </c>
      <c r="O44" s="56">
        <v>1</v>
      </c>
      <c r="P44" s="56" t="s">
        <v>0</v>
      </c>
      <c r="Q44" s="57">
        <v>0</v>
      </c>
      <c r="R44" s="2">
        <f t="shared" si="71"/>
        <v>1</v>
      </c>
      <c r="S44" s="97">
        <f t="shared" si="72"/>
        <v>2</v>
      </c>
      <c r="T44" s="56">
        <v>1</v>
      </c>
      <c r="U44" s="56" t="s">
        <v>0</v>
      </c>
      <c r="V44" s="57">
        <v>0</v>
      </c>
      <c r="W44" s="2">
        <f t="shared" si="73"/>
        <v>1</v>
      </c>
      <c r="X44" s="97">
        <f t="shared" si="74"/>
        <v>2</v>
      </c>
      <c r="Y44" s="74">
        <v>3</v>
      </c>
      <c r="Z44" s="56" t="s">
        <v>0</v>
      </c>
      <c r="AA44" s="76">
        <v>0</v>
      </c>
      <c r="AB44" s="2">
        <f t="shared" si="75"/>
        <v>3</v>
      </c>
      <c r="AC44" s="97">
        <f t="shared" si="76"/>
        <v>2</v>
      </c>
      <c r="AD44" s="56">
        <v>2</v>
      </c>
      <c r="AE44" s="56" t="s">
        <v>0</v>
      </c>
      <c r="AF44" s="57">
        <v>0</v>
      </c>
      <c r="AG44" s="2">
        <f t="shared" si="77"/>
        <v>1</v>
      </c>
      <c r="AH44" s="97">
        <f t="shared" si="78"/>
        <v>2</v>
      </c>
      <c r="AI44" s="56">
        <v>4</v>
      </c>
      <c r="AJ44" s="56" t="s">
        <v>0</v>
      </c>
      <c r="AK44" s="57">
        <v>0</v>
      </c>
      <c r="AL44" s="2">
        <f t="shared" si="79"/>
        <v>1</v>
      </c>
      <c r="AM44" s="97">
        <f t="shared" si="80"/>
        <v>2</v>
      </c>
      <c r="AN44" s="56">
        <v>6</v>
      </c>
      <c r="AO44" s="56" t="s">
        <v>0</v>
      </c>
      <c r="AP44" s="57">
        <v>1</v>
      </c>
      <c r="AQ44" s="2">
        <f t="shared" si="81"/>
        <v>1</v>
      </c>
      <c r="AR44" s="97">
        <f t="shared" si="82"/>
        <v>2</v>
      </c>
      <c r="AS44" s="56">
        <v>3</v>
      </c>
      <c r="AT44" s="56" t="s">
        <v>0</v>
      </c>
      <c r="AU44" s="57">
        <v>0</v>
      </c>
      <c r="AV44" s="2">
        <f t="shared" si="83"/>
        <v>3</v>
      </c>
      <c r="AW44" s="97">
        <f t="shared" si="84"/>
        <v>2</v>
      </c>
      <c r="AX44" s="56">
        <v>2</v>
      </c>
      <c r="AY44" s="56" t="s">
        <v>0</v>
      </c>
      <c r="AZ44" s="57">
        <v>0</v>
      </c>
      <c r="BA44" s="2">
        <f t="shared" si="53"/>
        <v>1</v>
      </c>
      <c r="BB44" s="97">
        <f t="shared" si="55"/>
        <v>2</v>
      </c>
      <c r="BC44" s="56">
        <v>3</v>
      </c>
      <c r="BD44" s="56" t="s">
        <v>0</v>
      </c>
      <c r="BE44" s="57">
        <v>0</v>
      </c>
      <c r="BF44" s="2">
        <f t="shared" si="56"/>
        <v>3</v>
      </c>
      <c r="BG44" s="97">
        <f t="shared" si="57"/>
        <v>2</v>
      </c>
      <c r="BH44" s="64">
        <v>5</v>
      </c>
      <c r="BI44" s="64" t="s">
        <v>0</v>
      </c>
      <c r="BJ44" s="65">
        <v>0</v>
      </c>
      <c r="BK44" s="2">
        <f t="shared" si="58"/>
        <v>1</v>
      </c>
      <c r="BL44" s="97">
        <f t="shared" si="59"/>
        <v>2</v>
      </c>
      <c r="BM44" s="56">
        <v>2</v>
      </c>
      <c r="BN44" s="56" t="s">
        <v>0</v>
      </c>
      <c r="BO44" s="57">
        <v>0</v>
      </c>
      <c r="BP44" s="2">
        <f t="shared" si="60"/>
        <v>1</v>
      </c>
      <c r="BQ44" s="97">
        <f t="shared" si="61"/>
        <v>3</v>
      </c>
      <c r="BR44" s="56"/>
      <c r="BS44" s="56" t="s">
        <v>0</v>
      </c>
      <c r="BT44" s="57"/>
      <c r="BU44" s="2">
        <f t="shared" si="62"/>
        <v>0</v>
      </c>
      <c r="BV44" s="97">
        <f t="shared" si="63"/>
        <v>3</v>
      </c>
      <c r="BW44" s="56"/>
      <c r="BX44" s="56" t="s">
        <v>0</v>
      </c>
      <c r="BY44" s="57"/>
      <c r="BZ44" s="2">
        <f t="shared" si="64"/>
        <v>0</v>
      </c>
      <c r="CA44" s="97">
        <f t="shared" si="65"/>
        <v>3</v>
      </c>
      <c r="CB44" s="25"/>
      <c r="CC44" s="12" t="s">
        <v>0</v>
      </c>
      <c r="CD44" s="26"/>
      <c r="CE44" s="2">
        <f t="shared" si="66"/>
        <v>0</v>
      </c>
    </row>
    <row r="45" spans="1:83" ht="13.8" hidden="1" outlineLevel="1">
      <c r="A45" s="71">
        <v>46195.791666666664</v>
      </c>
      <c r="B45" s="40" t="s">
        <v>119</v>
      </c>
      <c r="C45" s="41" t="s">
        <v>81</v>
      </c>
      <c r="D45" s="43">
        <v>2</v>
      </c>
      <c r="E45" s="44" t="s">
        <v>0</v>
      </c>
      <c r="F45" s="43">
        <v>0</v>
      </c>
      <c r="G45">
        <f t="shared" si="67"/>
        <v>2</v>
      </c>
      <c r="H45" s="45"/>
      <c r="I45" s="97">
        <f t="shared" si="68"/>
        <v>2</v>
      </c>
      <c r="J45" s="56">
        <v>2</v>
      </c>
      <c r="K45" s="56" t="s">
        <v>0</v>
      </c>
      <c r="L45" s="57">
        <v>0</v>
      </c>
      <c r="M45" s="2">
        <f t="shared" si="69"/>
        <v>3</v>
      </c>
      <c r="N45" s="97">
        <f t="shared" si="70"/>
        <v>2</v>
      </c>
      <c r="O45" s="56">
        <v>2</v>
      </c>
      <c r="P45" s="56" t="s">
        <v>0</v>
      </c>
      <c r="Q45" s="57">
        <v>0</v>
      </c>
      <c r="R45" s="2">
        <f t="shared" si="71"/>
        <v>3</v>
      </c>
      <c r="S45" s="97">
        <f t="shared" si="72"/>
        <v>2</v>
      </c>
      <c r="T45" s="56">
        <v>2</v>
      </c>
      <c r="U45" s="56" t="s">
        <v>0</v>
      </c>
      <c r="V45" s="57">
        <v>0</v>
      </c>
      <c r="W45" s="2">
        <f t="shared" si="73"/>
        <v>3</v>
      </c>
      <c r="X45" s="97">
        <f t="shared" si="74"/>
        <v>2</v>
      </c>
      <c r="Y45" s="74">
        <v>2</v>
      </c>
      <c r="Z45" s="56" t="s">
        <v>0</v>
      </c>
      <c r="AA45" s="76">
        <v>1</v>
      </c>
      <c r="AB45" s="2">
        <f t="shared" si="75"/>
        <v>1</v>
      </c>
      <c r="AC45" s="97">
        <f t="shared" si="76"/>
        <v>2</v>
      </c>
      <c r="AD45" s="56">
        <v>3</v>
      </c>
      <c r="AE45" s="56" t="s">
        <v>0</v>
      </c>
      <c r="AF45" s="57">
        <v>1</v>
      </c>
      <c r="AG45" s="2">
        <f t="shared" si="77"/>
        <v>1</v>
      </c>
      <c r="AH45" s="97">
        <f t="shared" si="78"/>
        <v>2</v>
      </c>
      <c r="AI45" s="56">
        <v>2</v>
      </c>
      <c r="AJ45" s="56" t="s">
        <v>0</v>
      </c>
      <c r="AK45" s="57">
        <v>1</v>
      </c>
      <c r="AL45" s="2">
        <f t="shared" si="79"/>
        <v>1</v>
      </c>
      <c r="AM45" s="97">
        <f t="shared" si="80"/>
        <v>2</v>
      </c>
      <c r="AN45" s="56">
        <v>3</v>
      </c>
      <c r="AO45" s="56" t="s">
        <v>0</v>
      </c>
      <c r="AP45" s="57">
        <v>1</v>
      </c>
      <c r="AQ45" s="2">
        <f t="shared" si="81"/>
        <v>1</v>
      </c>
      <c r="AR45" s="97">
        <f t="shared" si="82"/>
        <v>2</v>
      </c>
      <c r="AS45" s="56">
        <v>3</v>
      </c>
      <c r="AT45" s="56" t="s">
        <v>0</v>
      </c>
      <c r="AU45" s="57">
        <v>0</v>
      </c>
      <c r="AV45" s="2">
        <f t="shared" si="83"/>
        <v>1</v>
      </c>
      <c r="AW45" s="97">
        <f t="shared" si="84"/>
        <v>3</v>
      </c>
      <c r="AX45" s="56">
        <v>1</v>
      </c>
      <c r="AY45" s="56" t="s">
        <v>0</v>
      </c>
      <c r="AZ45" s="57">
        <v>1</v>
      </c>
      <c r="BA45" s="2">
        <f t="shared" si="53"/>
        <v>0</v>
      </c>
      <c r="BB45" s="97">
        <f t="shared" si="55"/>
        <v>2</v>
      </c>
      <c r="BC45" s="56">
        <v>2</v>
      </c>
      <c r="BD45" s="56" t="s">
        <v>0</v>
      </c>
      <c r="BE45" s="57">
        <v>0</v>
      </c>
      <c r="BF45" s="2">
        <f t="shared" si="56"/>
        <v>3</v>
      </c>
      <c r="BG45" s="97">
        <f t="shared" si="57"/>
        <v>1</v>
      </c>
      <c r="BH45" s="64">
        <v>1</v>
      </c>
      <c r="BI45" s="64" t="s">
        <v>0</v>
      </c>
      <c r="BJ45" s="65">
        <v>2</v>
      </c>
      <c r="BK45" s="2">
        <f t="shared" si="58"/>
        <v>0</v>
      </c>
      <c r="BL45" s="97">
        <f t="shared" si="59"/>
        <v>2</v>
      </c>
      <c r="BM45" s="56">
        <v>1</v>
      </c>
      <c r="BN45" s="56" t="s">
        <v>0</v>
      </c>
      <c r="BO45" s="57">
        <v>0</v>
      </c>
      <c r="BP45" s="2">
        <f t="shared" si="60"/>
        <v>1</v>
      </c>
      <c r="BQ45" s="97">
        <f t="shared" si="61"/>
        <v>3</v>
      </c>
      <c r="BR45" s="56"/>
      <c r="BS45" s="56" t="s">
        <v>0</v>
      </c>
      <c r="BT45" s="57"/>
      <c r="BU45" s="2">
        <f t="shared" si="62"/>
        <v>0</v>
      </c>
      <c r="BV45" s="97">
        <f t="shared" si="63"/>
        <v>3</v>
      </c>
      <c r="BW45" s="56"/>
      <c r="BX45" s="56" t="s">
        <v>0</v>
      </c>
      <c r="BY45" s="57"/>
      <c r="BZ45" s="2">
        <f t="shared" si="64"/>
        <v>0</v>
      </c>
      <c r="CA45" s="97">
        <f t="shared" si="65"/>
        <v>3</v>
      </c>
      <c r="CB45" s="25"/>
      <c r="CC45" s="12" t="s">
        <v>0</v>
      </c>
      <c r="CD45" s="26"/>
      <c r="CE45" s="2">
        <f t="shared" si="66"/>
        <v>0</v>
      </c>
    </row>
    <row r="46" spans="1:83" ht="13.8" hidden="1" outlineLevel="1">
      <c r="A46" s="71">
        <v>46196.083333333336</v>
      </c>
      <c r="B46" s="40" t="s">
        <v>118</v>
      </c>
      <c r="C46" s="41" t="s">
        <v>85</v>
      </c>
      <c r="D46" s="43">
        <v>3</v>
      </c>
      <c r="E46" s="44" t="s">
        <v>0</v>
      </c>
      <c r="F46" s="43">
        <v>2</v>
      </c>
      <c r="G46">
        <f t="shared" si="67"/>
        <v>2</v>
      </c>
      <c r="H46" s="45"/>
      <c r="I46" s="97">
        <f t="shared" si="68"/>
        <v>2</v>
      </c>
      <c r="J46" s="56">
        <v>2</v>
      </c>
      <c r="K46" s="56" t="s">
        <v>0</v>
      </c>
      <c r="L46" s="57">
        <v>0</v>
      </c>
      <c r="M46" s="2">
        <f t="shared" si="69"/>
        <v>1</v>
      </c>
      <c r="N46" s="97">
        <f t="shared" si="70"/>
        <v>3</v>
      </c>
      <c r="O46" s="56">
        <v>0</v>
      </c>
      <c r="P46" s="56" t="s">
        <v>0</v>
      </c>
      <c r="Q46" s="57">
        <v>0</v>
      </c>
      <c r="R46" s="2">
        <f t="shared" si="71"/>
        <v>0</v>
      </c>
      <c r="S46" s="97">
        <f t="shared" si="72"/>
        <v>1</v>
      </c>
      <c r="T46" s="56">
        <v>1</v>
      </c>
      <c r="U46" s="56" t="s">
        <v>0</v>
      </c>
      <c r="V46" s="57">
        <v>2</v>
      </c>
      <c r="W46" s="2">
        <f t="shared" si="73"/>
        <v>0</v>
      </c>
      <c r="X46" s="97">
        <f t="shared" si="74"/>
        <v>2</v>
      </c>
      <c r="Y46" s="74">
        <v>1</v>
      </c>
      <c r="Z46" s="56" t="s">
        <v>0</v>
      </c>
      <c r="AA46" s="76">
        <v>0</v>
      </c>
      <c r="AB46" s="2">
        <f t="shared" si="75"/>
        <v>1</v>
      </c>
      <c r="AC46" s="97">
        <f t="shared" si="76"/>
        <v>2</v>
      </c>
      <c r="AD46" s="56">
        <v>2</v>
      </c>
      <c r="AE46" s="56" t="s">
        <v>0</v>
      </c>
      <c r="AF46" s="57">
        <v>0</v>
      </c>
      <c r="AG46" s="2">
        <f t="shared" si="77"/>
        <v>1</v>
      </c>
      <c r="AH46" s="97">
        <f t="shared" si="78"/>
        <v>2</v>
      </c>
      <c r="AI46" s="56">
        <v>3</v>
      </c>
      <c r="AJ46" s="56" t="s">
        <v>0</v>
      </c>
      <c r="AK46" s="57">
        <v>0</v>
      </c>
      <c r="AL46" s="2">
        <f t="shared" si="79"/>
        <v>1</v>
      </c>
      <c r="AM46" s="97">
        <f t="shared" si="80"/>
        <v>2</v>
      </c>
      <c r="AN46" s="56">
        <v>3</v>
      </c>
      <c r="AO46" s="56" t="s">
        <v>0</v>
      </c>
      <c r="AP46" s="57">
        <v>1</v>
      </c>
      <c r="AQ46" s="2">
        <f t="shared" si="81"/>
        <v>1</v>
      </c>
      <c r="AR46" s="97">
        <f t="shared" si="82"/>
        <v>3</v>
      </c>
      <c r="AS46" s="56">
        <v>2</v>
      </c>
      <c r="AT46" s="56" t="s">
        <v>0</v>
      </c>
      <c r="AU46" s="57">
        <v>2</v>
      </c>
      <c r="AV46" s="2">
        <f t="shared" si="83"/>
        <v>0</v>
      </c>
      <c r="AW46" s="97">
        <f t="shared" si="84"/>
        <v>3</v>
      </c>
      <c r="AX46" s="56">
        <v>1</v>
      </c>
      <c r="AY46" s="56" t="s">
        <v>0</v>
      </c>
      <c r="AZ46" s="57">
        <v>1</v>
      </c>
      <c r="BA46" s="2">
        <f t="shared" si="53"/>
        <v>0</v>
      </c>
      <c r="BB46" s="97">
        <f t="shared" si="55"/>
        <v>3</v>
      </c>
      <c r="BC46" s="56">
        <v>1</v>
      </c>
      <c r="BD46" s="56" t="s">
        <v>0</v>
      </c>
      <c r="BE46" s="57">
        <v>1</v>
      </c>
      <c r="BF46" s="2">
        <f t="shared" si="56"/>
        <v>0</v>
      </c>
      <c r="BG46" s="97">
        <f t="shared" si="57"/>
        <v>3</v>
      </c>
      <c r="BH46" s="64">
        <v>1</v>
      </c>
      <c r="BI46" s="64" t="s">
        <v>0</v>
      </c>
      <c r="BJ46" s="65">
        <v>1</v>
      </c>
      <c r="BK46" s="2">
        <f t="shared" si="58"/>
        <v>0</v>
      </c>
      <c r="BL46" s="97">
        <f t="shared" si="59"/>
        <v>1</v>
      </c>
      <c r="BM46" s="56">
        <v>1</v>
      </c>
      <c r="BN46" s="56" t="s">
        <v>0</v>
      </c>
      <c r="BO46" s="57">
        <v>2</v>
      </c>
      <c r="BP46" s="2">
        <f t="shared" si="60"/>
        <v>0</v>
      </c>
      <c r="BQ46" s="97">
        <f t="shared" si="61"/>
        <v>3</v>
      </c>
      <c r="BR46" s="56"/>
      <c r="BS46" s="56" t="s">
        <v>0</v>
      </c>
      <c r="BT46" s="57"/>
      <c r="BU46" s="2">
        <f t="shared" si="62"/>
        <v>0</v>
      </c>
      <c r="BV46" s="97">
        <f t="shared" si="63"/>
        <v>3</v>
      </c>
      <c r="BW46" s="56"/>
      <c r="BX46" s="56" t="s">
        <v>0</v>
      </c>
      <c r="BY46" s="57"/>
      <c r="BZ46" s="2">
        <f t="shared" si="64"/>
        <v>0</v>
      </c>
      <c r="CA46" s="97">
        <f t="shared" si="65"/>
        <v>3</v>
      </c>
      <c r="CB46" s="25"/>
      <c r="CC46" s="12" t="s">
        <v>0</v>
      </c>
      <c r="CD46" s="26"/>
      <c r="CE46" s="2">
        <f t="shared" si="66"/>
        <v>0</v>
      </c>
    </row>
    <row r="47" spans="1:83" ht="13.8" hidden="1" outlineLevel="1">
      <c r="A47" s="71">
        <v>46196.208333333336</v>
      </c>
      <c r="B47" s="40" t="s">
        <v>121</v>
      </c>
      <c r="C47" s="41" t="s">
        <v>120</v>
      </c>
      <c r="D47" s="43">
        <v>1</v>
      </c>
      <c r="E47" s="44" t="s">
        <v>0</v>
      </c>
      <c r="F47" s="43">
        <v>2</v>
      </c>
      <c r="G47">
        <f t="shared" si="67"/>
        <v>1</v>
      </c>
      <c r="H47" s="45"/>
      <c r="I47" s="97">
        <f t="shared" si="68"/>
        <v>1</v>
      </c>
      <c r="J47" s="56">
        <v>1</v>
      </c>
      <c r="K47" s="56" t="s">
        <v>0</v>
      </c>
      <c r="L47" s="57">
        <v>2</v>
      </c>
      <c r="M47" s="2">
        <f t="shared" si="69"/>
        <v>3</v>
      </c>
      <c r="N47" s="97">
        <f t="shared" si="70"/>
        <v>3</v>
      </c>
      <c r="O47" s="56">
        <v>1</v>
      </c>
      <c r="P47" s="56" t="s">
        <v>0</v>
      </c>
      <c r="Q47" s="57">
        <v>1</v>
      </c>
      <c r="R47" s="2">
        <f t="shared" si="71"/>
        <v>0</v>
      </c>
      <c r="S47" s="97">
        <f t="shared" si="72"/>
        <v>1</v>
      </c>
      <c r="T47" s="56">
        <v>1</v>
      </c>
      <c r="U47" s="56" t="s">
        <v>0</v>
      </c>
      <c r="V47" s="57">
        <v>3</v>
      </c>
      <c r="W47" s="2">
        <f t="shared" si="73"/>
        <v>1</v>
      </c>
      <c r="X47" s="97">
        <f t="shared" si="74"/>
        <v>3</v>
      </c>
      <c r="Y47" s="74">
        <v>0</v>
      </c>
      <c r="Z47" s="56" t="s">
        <v>0</v>
      </c>
      <c r="AA47" s="76">
        <v>0</v>
      </c>
      <c r="AB47" s="2">
        <f t="shared" si="75"/>
        <v>0</v>
      </c>
      <c r="AC47" s="97">
        <f t="shared" si="76"/>
        <v>1</v>
      </c>
      <c r="AD47" s="56">
        <v>0</v>
      </c>
      <c r="AE47" s="56" t="s">
        <v>0</v>
      </c>
      <c r="AF47" s="57">
        <v>2</v>
      </c>
      <c r="AG47" s="2">
        <f t="shared" si="77"/>
        <v>1</v>
      </c>
      <c r="AH47" s="97">
        <f t="shared" si="78"/>
        <v>1</v>
      </c>
      <c r="AI47" s="56">
        <v>0</v>
      </c>
      <c r="AJ47" s="56" t="s">
        <v>0</v>
      </c>
      <c r="AK47" s="57">
        <v>2</v>
      </c>
      <c r="AL47" s="2">
        <f t="shared" si="79"/>
        <v>1</v>
      </c>
      <c r="AM47" s="97">
        <f t="shared" si="80"/>
        <v>3</v>
      </c>
      <c r="AN47" s="56">
        <v>1</v>
      </c>
      <c r="AO47" s="56" t="s">
        <v>0</v>
      </c>
      <c r="AP47" s="57">
        <v>1</v>
      </c>
      <c r="AQ47" s="2">
        <f t="shared" si="81"/>
        <v>0</v>
      </c>
      <c r="AR47" s="97">
        <f t="shared" si="82"/>
        <v>1</v>
      </c>
      <c r="AS47" s="56">
        <v>0</v>
      </c>
      <c r="AT47" s="56" t="s">
        <v>0</v>
      </c>
      <c r="AU47" s="57">
        <v>1</v>
      </c>
      <c r="AV47" s="2">
        <f t="shared" si="83"/>
        <v>1</v>
      </c>
      <c r="AW47" s="97">
        <f t="shared" si="84"/>
        <v>3</v>
      </c>
      <c r="AX47" s="56">
        <v>1</v>
      </c>
      <c r="AY47" s="56" t="s">
        <v>0</v>
      </c>
      <c r="AZ47" s="57">
        <v>1</v>
      </c>
      <c r="BA47" s="2">
        <f t="shared" si="53"/>
        <v>0</v>
      </c>
      <c r="BB47" s="97">
        <f t="shared" si="55"/>
        <v>1</v>
      </c>
      <c r="BC47" s="56">
        <v>0</v>
      </c>
      <c r="BD47" s="56" t="s">
        <v>0</v>
      </c>
      <c r="BE47" s="57">
        <v>2</v>
      </c>
      <c r="BF47" s="2">
        <f t="shared" si="56"/>
        <v>1</v>
      </c>
      <c r="BG47" s="97">
        <f t="shared" si="57"/>
        <v>1</v>
      </c>
      <c r="BH47" s="64">
        <v>0</v>
      </c>
      <c r="BI47" s="64" t="s">
        <v>0</v>
      </c>
      <c r="BJ47" s="65">
        <v>2</v>
      </c>
      <c r="BK47" s="2">
        <f t="shared" si="58"/>
        <v>1</v>
      </c>
      <c r="BL47" s="97">
        <f t="shared" si="59"/>
        <v>1</v>
      </c>
      <c r="BM47" s="56">
        <v>0</v>
      </c>
      <c r="BN47" s="56" t="s">
        <v>0</v>
      </c>
      <c r="BO47" s="57">
        <v>1</v>
      </c>
      <c r="BP47" s="2">
        <f t="shared" si="60"/>
        <v>1</v>
      </c>
      <c r="BQ47" s="97">
        <f t="shared" si="61"/>
        <v>3</v>
      </c>
      <c r="BR47" s="56"/>
      <c r="BS47" s="56" t="s">
        <v>0</v>
      </c>
      <c r="BT47" s="57"/>
      <c r="BU47" s="2">
        <f t="shared" si="62"/>
        <v>0</v>
      </c>
      <c r="BV47" s="97">
        <f t="shared" si="63"/>
        <v>3</v>
      </c>
      <c r="BW47" s="56"/>
      <c r="BX47" s="56" t="s">
        <v>0</v>
      </c>
      <c r="BY47" s="57"/>
      <c r="BZ47" s="2">
        <f t="shared" si="64"/>
        <v>0</v>
      </c>
      <c r="CA47" s="97">
        <f t="shared" si="65"/>
        <v>3</v>
      </c>
      <c r="CB47" s="25"/>
      <c r="CC47" s="12" t="s">
        <v>0</v>
      </c>
      <c r="CD47" s="26"/>
      <c r="CE47" s="2">
        <f t="shared" si="66"/>
        <v>0</v>
      </c>
    </row>
    <row r="48" spans="1:83" ht="13.8" hidden="1" outlineLevel="1">
      <c r="A48" s="71">
        <v>46196.791666666664</v>
      </c>
      <c r="B48" s="40" t="s">
        <v>122</v>
      </c>
      <c r="C48" s="41" t="s">
        <v>82</v>
      </c>
      <c r="D48" s="43">
        <v>5</v>
      </c>
      <c r="E48" s="44" t="s">
        <v>0</v>
      </c>
      <c r="F48" s="43">
        <v>0</v>
      </c>
      <c r="G48">
        <f t="shared" si="67"/>
        <v>2</v>
      </c>
      <c r="H48" s="45"/>
      <c r="I48" s="97">
        <f t="shared" si="68"/>
        <v>2</v>
      </c>
      <c r="J48" s="56">
        <v>3</v>
      </c>
      <c r="K48" s="56" t="s">
        <v>0</v>
      </c>
      <c r="L48" s="57">
        <v>0</v>
      </c>
      <c r="M48" s="2">
        <f t="shared" si="69"/>
        <v>1</v>
      </c>
      <c r="N48" s="97">
        <f t="shared" si="70"/>
        <v>3</v>
      </c>
      <c r="O48" s="56">
        <v>2</v>
      </c>
      <c r="P48" s="56" t="s">
        <v>0</v>
      </c>
      <c r="Q48" s="57">
        <v>2</v>
      </c>
      <c r="R48" s="2">
        <f t="shared" si="71"/>
        <v>0</v>
      </c>
      <c r="S48" s="97">
        <f t="shared" si="72"/>
        <v>2</v>
      </c>
      <c r="T48" s="56">
        <v>4</v>
      </c>
      <c r="U48" s="56" t="s">
        <v>0</v>
      </c>
      <c r="V48" s="57">
        <v>0</v>
      </c>
      <c r="W48" s="2">
        <f t="shared" si="73"/>
        <v>1</v>
      </c>
      <c r="X48" s="97">
        <f t="shared" si="74"/>
        <v>2</v>
      </c>
      <c r="Y48" s="74">
        <v>1</v>
      </c>
      <c r="Z48" s="56" t="s">
        <v>0</v>
      </c>
      <c r="AA48" s="76">
        <v>0</v>
      </c>
      <c r="AB48" s="2">
        <f t="shared" si="75"/>
        <v>1</v>
      </c>
      <c r="AC48" s="97">
        <f t="shared" si="76"/>
        <v>2</v>
      </c>
      <c r="AD48" s="56">
        <v>3</v>
      </c>
      <c r="AE48" s="56" t="s">
        <v>0</v>
      </c>
      <c r="AF48" s="57">
        <v>0</v>
      </c>
      <c r="AG48" s="2">
        <f t="shared" si="77"/>
        <v>1</v>
      </c>
      <c r="AH48" s="97">
        <f t="shared" si="78"/>
        <v>2</v>
      </c>
      <c r="AI48" s="56">
        <v>3</v>
      </c>
      <c r="AJ48" s="56" t="s">
        <v>0</v>
      </c>
      <c r="AK48" s="57">
        <v>0</v>
      </c>
      <c r="AL48" s="2">
        <f t="shared" si="79"/>
        <v>1</v>
      </c>
      <c r="AM48" s="97">
        <f t="shared" si="80"/>
        <v>2</v>
      </c>
      <c r="AN48" s="56">
        <v>5</v>
      </c>
      <c r="AO48" s="56" t="s">
        <v>0</v>
      </c>
      <c r="AP48" s="57">
        <v>1</v>
      </c>
      <c r="AQ48" s="2">
        <f t="shared" si="81"/>
        <v>1</v>
      </c>
      <c r="AR48" s="97">
        <f t="shared" si="82"/>
        <v>2</v>
      </c>
      <c r="AS48" s="56">
        <v>3</v>
      </c>
      <c r="AT48" s="56" t="s">
        <v>0</v>
      </c>
      <c r="AU48" s="57">
        <v>1</v>
      </c>
      <c r="AV48" s="2">
        <f t="shared" si="83"/>
        <v>1</v>
      </c>
      <c r="AW48" s="97">
        <f t="shared" si="84"/>
        <v>2</v>
      </c>
      <c r="AX48" s="56">
        <v>3</v>
      </c>
      <c r="AY48" s="56" t="s">
        <v>0</v>
      </c>
      <c r="AZ48" s="57">
        <v>1</v>
      </c>
      <c r="BA48" s="2">
        <f t="shared" si="53"/>
        <v>1</v>
      </c>
      <c r="BB48" s="97">
        <f t="shared" si="55"/>
        <v>2</v>
      </c>
      <c r="BC48" s="56">
        <v>2</v>
      </c>
      <c r="BD48" s="56" t="s">
        <v>0</v>
      </c>
      <c r="BE48" s="57">
        <v>0</v>
      </c>
      <c r="BF48" s="2">
        <f t="shared" si="56"/>
        <v>1</v>
      </c>
      <c r="BG48" s="97">
        <f t="shared" si="57"/>
        <v>2</v>
      </c>
      <c r="BH48" s="64">
        <v>3</v>
      </c>
      <c r="BI48" s="64" t="s">
        <v>0</v>
      </c>
      <c r="BJ48" s="65">
        <v>0</v>
      </c>
      <c r="BK48" s="2">
        <f t="shared" si="58"/>
        <v>1</v>
      </c>
      <c r="BL48" s="97">
        <f t="shared" si="59"/>
        <v>2</v>
      </c>
      <c r="BM48" s="56">
        <v>3</v>
      </c>
      <c r="BN48" s="56" t="s">
        <v>0</v>
      </c>
      <c r="BO48" s="57">
        <v>0</v>
      </c>
      <c r="BP48" s="2">
        <f t="shared" si="60"/>
        <v>1</v>
      </c>
      <c r="BQ48" s="97">
        <f t="shared" si="61"/>
        <v>3</v>
      </c>
      <c r="BR48" s="56"/>
      <c r="BS48" s="56" t="s">
        <v>0</v>
      </c>
      <c r="BT48" s="57"/>
      <c r="BU48" s="2">
        <f t="shared" si="62"/>
        <v>0</v>
      </c>
      <c r="BV48" s="97">
        <f t="shared" si="63"/>
        <v>3</v>
      </c>
      <c r="BW48" s="56"/>
      <c r="BX48" s="56" t="s">
        <v>0</v>
      </c>
      <c r="BY48" s="57"/>
      <c r="BZ48" s="2">
        <f t="shared" si="64"/>
        <v>0</v>
      </c>
      <c r="CA48" s="97">
        <f t="shared" si="65"/>
        <v>3</v>
      </c>
      <c r="CB48" s="25"/>
      <c r="CC48" s="12" t="s">
        <v>0</v>
      </c>
      <c r="CD48" s="26"/>
      <c r="CE48" s="2">
        <f t="shared" si="66"/>
        <v>0</v>
      </c>
    </row>
    <row r="49" spans="1:83" ht="13.8" hidden="1" outlineLevel="1">
      <c r="A49" s="71">
        <v>46196.916666666664</v>
      </c>
      <c r="B49" s="40" t="s">
        <v>124</v>
      </c>
      <c r="C49" s="41" t="s">
        <v>83</v>
      </c>
      <c r="D49" s="43">
        <v>0</v>
      </c>
      <c r="E49" s="44" t="s">
        <v>0</v>
      </c>
      <c r="F49" s="43">
        <v>0</v>
      </c>
      <c r="G49">
        <f t="shared" si="67"/>
        <v>3</v>
      </c>
      <c r="H49" s="45"/>
      <c r="I49" s="97">
        <f t="shared" si="68"/>
        <v>2</v>
      </c>
      <c r="J49" s="56">
        <v>3</v>
      </c>
      <c r="K49" s="56" t="s">
        <v>0</v>
      </c>
      <c r="L49" s="57">
        <v>0</v>
      </c>
      <c r="M49" s="2">
        <f t="shared" si="69"/>
        <v>0</v>
      </c>
      <c r="N49" s="97">
        <f t="shared" si="70"/>
        <v>1</v>
      </c>
      <c r="O49" s="56">
        <v>0</v>
      </c>
      <c r="P49" s="56" t="s">
        <v>0</v>
      </c>
      <c r="Q49" s="57">
        <v>3</v>
      </c>
      <c r="R49" s="2">
        <f t="shared" si="71"/>
        <v>0</v>
      </c>
      <c r="S49" s="97">
        <f t="shared" si="72"/>
        <v>2</v>
      </c>
      <c r="T49" s="56">
        <v>3</v>
      </c>
      <c r="U49" s="56" t="s">
        <v>0</v>
      </c>
      <c r="V49" s="57">
        <v>0</v>
      </c>
      <c r="W49" s="2">
        <f t="shared" si="73"/>
        <v>0</v>
      </c>
      <c r="X49" s="97">
        <f t="shared" si="74"/>
        <v>2</v>
      </c>
      <c r="Y49" s="74">
        <v>2</v>
      </c>
      <c r="Z49" s="56" t="s">
        <v>0</v>
      </c>
      <c r="AA49" s="76">
        <v>1</v>
      </c>
      <c r="AB49" s="2">
        <f t="shared" si="75"/>
        <v>0</v>
      </c>
      <c r="AC49" s="97">
        <f t="shared" si="76"/>
        <v>3</v>
      </c>
      <c r="AD49" s="56">
        <v>1</v>
      </c>
      <c r="AE49" s="56" t="s">
        <v>0</v>
      </c>
      <c r="AF49" s="57">
        <v>1</v>
      </c>
      <c r="AG49" s="2">
        <f t="shared" si="77"/>
        <v>1</v>
      </c>
      <c r="AH49" s="97">
        <f t="shared" si="78"/>
        <v>2</v>
      </c>
      <c r="AI49" s="56">
        <v>4</v>
      </c>
      <c r="AJ49" s="56" t="s">
        <v>0</v>
      </c>
      <c r="AK49" s="57">
        <v>0</v>
      </c>
      <c r="AL49" s="2">
        <f t="shared" si="79"/>
        <v>0</v>
      </c>
      <c r="AM49" s="97">
        <f t="shared" si="80"/>
        <v>2</v>
      </c>
      <c r="AN49" s="56">
        <v>4</v>
      </c>
      <c r="AO49" s="56" t="s">
        <v>0</v>
      </c>
      <c r="AP49" s="57">
        <v>1</v>
      </c>
      <c r="AQ49" s="2">
        <f t="shared" si="81"/>
        <v>0</v>
      </c>
      <c r="AR49" s="97">
        <f t="shared" si="82"/>
        <v>2</v>
      </c>
      <c r="AS49" s="56">
        <v>2</v>
      </c>
      <c r="AT49" s="56" t="s">
        <v>0</v>
      </c>
      <c r="AU49" s="57">
        <v>0</v>
      </c>
      <c r="AV49" s="2">
        <f t="shared" si="83"/>
        <v>0</v>
      </c>
      <c r="AW49" s="97">
        <f t="shared" si="84"/>
        <v>2</v>
      </c>
      <c r="AX49" s="56">
        <v>2</v>
      </c>
      <c r="AY49" s="56" t="s">
        <v>0</v>
      </c>
      <c r="AZ49" s="57">
        <v>0</v>
      </c>
      <c r="BA49" s="2">
        <f t="shared" si="53"/>
        <v>0</v>
      </c>
      <c r="BB49" s="97">
        <f t="shared" si="55"/>
        <v>2</v>
      </c>
      <c r="BC49" s="56">
        <v>3</v>
      </c>
      <c r="BD49" s="56" t="s">
        <v>0</v>
      </c>
      <c r="BE49" s="57">
        <v>0</v>
      </c>
      <c r="BF49" s="2">
        <f t="shared" si="56"/>
        <v>0</v>
      </c>
      <c r="BG49" s="97">
        <f t="shared" si="57"/>
        <v>2</v>
      </c>
      <c r="BH49" s="64">
        <v>2</v>
      </c>
      <c r="BI49" s="64" t="s">
        <v>0</v>
      </c>
      <c r="BJ49" s="65">
        <v>1</v>
      </c>
      <c r="BK49" s="2">
        <f t="shared" si="58"/>
        <v>0</v>
      </c>
      <c r="BL49" s="97">
        <f t="shared" si="59"/>
        <v>2</v>
      </c>
      <c r="BM49" s="56">
        <v>2</v>
      </c>
      <c r="BN49" s="56" t="s">
        <v>0</v>
      </c>
      <c r="BO49" s="57">
        <v>1</v>
      </c>
      <c r="BP49" s="2">
        <f t="shared" si="60"/>
        <v>0</v>
      </c>
      <c r="BQ49" s="97">
        <f t="shared" si="61"/>
        <v>3</v>
      </c>
      <c r="BR49" s="56"/>
      <c r="BS49" s="56" t="s">
        <v>0</v>
      </c>
      <c r="BT49" s="57"/>
      <c r="BU49" s="2">
        <f t="shared" si="62"/>
        <v>0</v>
      </c>
      <c r="BV49" s="97">
        <f t="shared" si="63"/>
        <v>3</v>
      </c>
      <c r="BW49" s="56"/>
      <c r="BX49" s="56" t="s">
        <v>0</v>
      </c>
      <c r="BY49" s="57"/>
      <c r="BZ49" s="2">
        <f t="shared" si="64"/>
        <v>0</v>
      </c>
      <c r="CA49" s="97">
        <f t="shared" si="65"/>
        <v>3</v>
      </c>
      <c r="CB49" s="25"/>
      <c r="CC49" s="12" t="s">
        <v>0</v>
      </c>
      <c r="CD49" s="26"/>
      <c r="CE49" s="2">
        <f t="shared" si="66"/>
        <v>0</v>
      </c>
    </row>
    <row r="50" spans="1:83" ht="13.8" hidden="1" outlineLevel="1">
      <c r="A50" s="71">
        <v>46197.166666666664</v>
      </c>
      <c r="B50" s="40" t="s">
        <v>125</v>
      </c>
      <c r="C50" s="41" t="s">
        <v>139</v>
      </c>
      <c r="D50" s="112">
        <v>1</v>
      </c>
      <c r="E50" s="44" t="s">
        <v>0</v>
      </c>
      <c r="F50" s="43">
        <v>0</v>
      </c>
      <c r="G50">
        <f t="shared" si="67"/>
        <v>2</v>
      </c>
      <c r="H50" s="45"/>
      <c r="I50" s="97">
        <f t="shared" si="68"/>
        <v>1</v>
      </c>
      <c r="J50" s="56">
        <v>1</v>
      </c>
      <c r="K50" s="56" t="s">
        <v>0</v>
      </c>
      <c r="L50" s="57">
        <v>2</v>
      </c>
      <c r="M50" s="2">
        <f t="shared" si="69"/>
        <v>0</v>
      </c>
      <c r="N50" s="97">
        <f t="shared" si="70"/>
        <v>1</v>
      </c>
      <c r="O50" s="56">
        <v>0</v>
      </c>
      <c r="P50" s="56" t="s">
        <v>0</v>
      </c>
      <c r="Q50" s="57">
        <v>3</v>
      </c>
      <c r="R50" s="2">
        <f t="shared" si="71"/>
        <v>0</v>
      </c>
      <c r="S50" s="97">
        <f t="shared" si="72"/>
        <v>3</v>
      </c>
      <c r="T50" s="56">
        <v>1</v>
      </c>
      <c r="U50" s="56" t="s">
        <v>0</v>
      </c>
      <c r="V50" s="57">
        <v>1</v>
      </c>
      <c r="W50" s="2">
        <f t="shared" si="73"/>
        <v>0</v>
      </c>
      <c r="X50" s="97">
        <f t="shared" si="74"/>
        <v>2</v>
      </c>
      <c r="Y50" s="74">
        <v>3</v>
      </c>
      <c r="Z50" s="56" t="s">
        <v>0</v>
      </c>
      <c r="AA50" s="76">
        <v>0</v>
      </c>
      <c r="AB50" s="2">
        <f t="shared" si="75"/>
        <v>1</v>
      </c>
      <c r="AC50" s="97">
        <f t="shared" si="76"/>
        <v>2</v>
      </c>
      <c r="AD50" s="56">
        <v>2</v>
      </c>
      <c r="AE50" s="56" t="s">
        <v>0</v>
      </c>
      <c r="AF50" s="57">
        <v>1</v>
      </c>
      <c r="AG50" s="2">
        <f t="shared" si="77"/>
        <v>1</v>
      </c>
      <c r="AH50" s="97">
        <f t="shared" si="78"/>
        <v>2</v>
      </c>
      <c r="AI50" s="56">
        <v>3</v>
      </c>
      <c r="AJ50" s="56" t="s">
        <v>0</v>
      </c>
      <c r="AK50" s="57">
        <v>0</v>
      </c>
      <c r="AL50" s="2">
        <f t="shared" si="79"/>
        <v>1</v>
      </c>
      <c r="AM50" s="97">
        <f t="shared" si="80"/>
        <v>2</v>
      </c>
      <c r="AN50" s="56">
        <v>1</v>
      </c>
      <c r="AO50" s="56" t="s">
        <v>0</v>
      </c>
      <c r="AP50" s="57">
        <v>0</v>
      </c>
      <c r="AQ50" s="2">
        <f t="shared" si="81"/>
        <v>3</v>
      </c>
      <c r="AR50" s="97">
        <f t="shared" si="82"/>
        <v>2</v>
      </c>
      <c r="AS50" s="56">
        <v>1</v>
      </c>
      <c r="AT50" s="56" t="s">
        <v>0</v>
      </c>
      <c r="AU50" s="57">
        <v>0</v>
      </c>
      <c r="AV50" s="2">
        <f t="shared" si="83"/>
        <v>3</v>
      </c>
      <c r="AW50" s="97">
        <f t="shared" si="84"/>
        <v>2</v>
      </c>
      <c r="AX50" s="56">
        <v>1</v>
      </c>
      <c r="AY50" s="56" t="s">
        <v>0</v>
      </c>
      <c r="AZ50" s="57">
        <v>0</v>
      </c>
      <c r="BA50" s="2">
        <f t="shared" si="53"/>
        <v>3</v>
      </c>
      <c r="BB50" s="97">
        <f t="shared" si="55"/>
        <v>2</v>
      </c>
      <c r="BC50" s="56">
        <v>2</v>
      </c>
      <c r="BD50" s="56" t="s">
        <v>0</v>
      </c>
      <c r="BE50" s="57">
        <v>0</v>
      </c>
      <c r="BF50" s="2">
        <f t="shared" si="56"/>
        <v>1</v>
      </c>
      <c r="BG50" s="97">
        <f t="shared" si="57"/>
        <v>1</v>
      </c>
      <c r="BH50" s="64">
        <v>1</v>
      </c>
      <c r="BI50" s="64" t="s">
        <v>0</v>
      </c>
      <c r="BJ50" s="65">
        <v>2</v>
      </c>
      <c r="BK50" s="2">
        <f t="shared" si="58"/>
        <v>0</v>
      </c>
      <c r="BL50" s="97">
        <f t="shared" si="59"/>
        <v>2</v>
      </c>
      <c r="BM50" s="56">
        <v>2</v>
      </c>
      <c r="BN50" s="56" t="s">
        <v>0</v>
      </c>
      <c r="BO50" s="57">
        <v>0</v>
      </c>
      <c r="BP50" s="2">
        <f t="shared" si="60"/>
        <v>1</v>
      </c>
      <c r="BQ50" s="97">
        <f t="shared" si="61"/>
        <v>3</v>
      </c>
      <c r="BR50" s="56"/>
      <c r="BS50" s="56" t="s">
        <v>0</v>
      </c>
      <c r="BT50" s="57"/>
      <c r="BU50" s="2">
        <f t="shared" si="62"/>
        <v>0</v>
      </c>
      <c r="BV50" s="97">
        <f t="shared" si="63"/>
        <v>3</v>
      </c>
      <c r="BW50" s="56"/>
      <c r="BX50" s="56" t="s">
        <v>0</v>
      </c>
      <c r="BY50" s="57"/>
      <c r="BZ50" s="2">
        <f t="shared" si="64"/>
        <v>0</v>
      </c>
      <c r="CA50" s="97">
        <f t="shared" si="65"/>
        <v>3</v>
      </c>
      <c r="CB50" s="25"/>
      <c r="CC50" s="12" t="s">
        <v>0</v>
      </c>
      <c r="CD50" s="26"/>
      <c r="CE50" s="2">
        <f t="shared" si="66"/>
        <v>0</v>
      </c>
    </row>
    <row r="51" spans="1:83" ht="14.4" hidden="1" outlineLevel="1" thickBot="1">
      <c r="A51" s="71">
        <v>46197.041666666664</v>
      </c>
      <c r="B51" s="40" t="s">
        <v>86</v>
      </c>
      <c r="C51" s="41" t="s">
        <v>92</v>
      </c>
      <c r="D51" s="43">
        <v>0</v>
      </c>
      <c r="E51" s="44" t="s">
        <v>0</v>
      </c>
      <c r="F51" s="43">
        <v>1</v>
      </c>
      <c r="G51">
        <f t="shared" si="67"/>
        <v>1</v>
      </c>
      <c r="H51" s="45"/>
      <c r="I51" s="97">
        <f t="shared" si="68"/>
        <v>1</v>
      </c>
      <c r="J51" s="56">
        <v>0</v>
      </c>
      <c r="K51" s="56" t="s">
        <v>0</v>
      </c>
      <c r="L51" s="57">
        <v>3</v>
      </c>
      <c r="M51" s="2">
        <f t="shared" si="69"/>
        <v>1</v>
      </c>
      <c r="N51" s="97">
        <f t="shared" si="70"/>
        <v>3</v>
      </c>
      <c r="O51" s="56">
        <v>2</v>
      </c>
      <c r="P51" s="56" t="s">
        <v>0</v>
      </c>
      <c r="Q51" s="57">
        <v>2</v>
      </c>
      <c r="R51" s="2">
        <f t="shared" si="71"/>
        <v>0</v>
      </c>
      <c r="S51" s="97">
        <f t="shared" si="72"/>
        <v>1</v>
      </c>
      <c r="T51" s="56">
        <v>1</v>
      </c>
      <c r="U51" s="56" t="s">
        <v>0</v>
      </c>
      <c r="V51" s="57">
        <v>3</v>
      </c>
      <c r="W51" s="2">
        <f t="shared" si="73"/>
        <v>1</v>
      </c>
      <c r="X51" s="97">
        <f t="shared" si="74"/>
        <v>1</v>
      </c>
      <c r="Y51" s="74">
        <v>0</v>
      </c>
      <c r="Z51" s="56" t="s">
        <v>0</v>
      </c>
      <c r="AA51" s="76">
        <v>3</v>
      </c>
      <c r="AB51" s="2">
        <f t="shared" si="75"/>
        <v>1</v>
      </c>
      <c r="AC51" s="97">
        <f t="shared" si="76"/>
        <v>1</v>
      </c>
      <c r="AD51" s="56">
        <v>0</v>
      </c>
      <c r="AE51" s="56" t="s">
        <v>0</v>
      </c>
      <c r="AF51" s="57">
        <v>2</v>
      </c>
      <c r="AG51" s="2">
        <f t="shared" si="77"/>
        <v>1</v>
      </c>
      <c r="AH51" s="97">
        <f t="shared" si="78"/>
        <v>1</v>
      </c>
      <c r="AI51" s="56">
        <v>0</v>
      </c>
      <c r="AJ51" s="56" t="s">
        <v>0</v>
      </c>
      <c r="AK51" s="57">
        <v>2</v>
      </c>
      <c r="AL51" s="2">
        <f t="shared" si="79"/>
        <v>1</v>
      </c>
      <c r="AM51" s="97">
        <f t="shared" si="80"/>
        <v>1</v>
      </c>
      <c r="AN51" s="56">
        <v>1</v>
      </c>
      <c r="AO51" s="56" t="s">
        <v>0</v>
      </c>
      <c r="AP51" s="57">
        <v>4</v>
      </c>
      <c r="AQ51" s="2">
        <f t="shared" si="81"/>
        <v>1</v>
      </c>
      <c r="AR51" s="97">
        <f t="shared" si="82"/>
        <v>1</v>
      </c>
      <c r="AS51" s="56">
        <v>0</v>
      </c>
      <c r="AT51" s="56" t="s">
        <v>0</v>
      </c>
      <c r="AU51" s="57">
        <v>2</v>
      </c>
      <c r="AV51" s="2">
        <f t="shared" si="83"/>
        <v>1</v>
      </c>
      <c r="AW51" s="97">
        <f t="shared" si="84"/>
        <v>1</v>
      </c>
      <c r="AX51" s="56">
        <v>1</v>
      </c>
      <c r="AY51" s="56" t="s">
        <v>0</v>
      </c>
      <c r="AZ51" s="57">
        <v>2</v>
      </c>
      <c r="BA51" s="2">
        <f t="shared" si="53"/>
        <v>1</v>
      </c>
      <c r="BB51" s="97">
        <f t="shared" si="55"/>
        <v>1</v>
      </c>
      <c r="BC51" s="56">
        <v>0</v>
      </c>
      <c r="BD51" s="56" t="s">
        <v>0</v>
      </c>
      <c r="BE51" s="57">
        <v>3</v>
      </c>
      <c r="BF51" s="2">
        <f t="shared" si="56"/>
        <v>1</v>
      </c>
      <c r="BG51" s="97">
        <f t="shared" si="57"/>
        <v>1</v>
      </c>
      <c r="BH51" s="64">
        <v>0</v>
      </c>
      <c r="BI51" s="64" t="s">
        <v>0</v>
      </c>
      <c r="BJ51" s="65">
        <v>3</v>
      </c>
      <c r="BK51" s="2">
        <f t="shared" si="58"/>
        <v>1</v>
      </c>
      <c r="BL51" s="97">
        <f t="shared" si="59"/>
        <v>1</v>
      </c>
      <c r="BM51" s="56">
        <v>0</v>
      </c>
      <c r="BN51" s="56" t="s">
        <v>0</v>
      </c>
      <c r="BO51" s="57">
        <v>1</v>
      </c>
      <c r="BP51" s="2">
        <f t="shared" si="60"/>
        <v>3</v>
      </c>
      <c r="BQ51" s="97">
        <f t="shared" si="61"/>
        <v>3</v>
      </c>
      <c r="BR51" s="56"/>
      <c r="BS51" s="56" t="s">
        <v>0</v>
      </c>
      <c r="BT51" s="57"/>
      <c r="BU51" s="2">
        <f t="shared" si="62"/>
        <v>0</v>
      </c>
      <c r="BV51" s="97">
        <f t="shared" si="63"/>
        <v>3</v>
      </c>
      <c r="BW51" s="56"/>
      <c r="BX51" s="56" t="s">
        <v>0</v>
      </c>
      <c r="BY51" s="57"/>
      <c r="BZ51" s="2">
        <f t="shared" si="64"/>
        <v>0</v>
      </c>
      <c r="CA51" s="97">
        <f t="shared" si="65"/>
        <v>3</v>
      </c>
      <c r="CB51" s="25"/>
      <c r="CC51" s="12" t="s">
        <v>0</v>
      </c>
      <c r="CD51" s="26"/>
      <c r="CE51" s="2">
        <f t="shared" si="66"/>
        <v>0</v>
      </c>
    </row>
    <row r="52" spans="1:83" ht="13.8" collapsed="1" thickBot="1">
      <c r="A52" s="72" t="s">
        <v>11</v>
      </c>
      <c r="B52" s="55"/>
      <c r="C52" s="55"/>
      <c r="D52" s="50"/>
      <c r="E52" s="51"/>
      <c r="F52" s="50"/>
      <c r="G52" s="46"/>
      <c r="H52" s="46"/>
      <c r="I52" s="98"/>
      <c r="J52" s="58"/>
      <c r="K52" s="58"/>
      <c r="L52" s="59"/>
      <c r="M52" s="52"/>
      <c r="N52" s="98"/>
      <c r="O52" s="58"/>
      <c r="P52" s="58"/>
      <c r="Q52" s="59"/>
      <c r="R52" s="52"/>
      <c r="S52" s="98"/>
      <c r="T52" s="58"/>
      <c r="U52" s="58"/>
      <c r="V52" s="59"/>
      <c r="W52" s="52"/>
      <c r="X52" s="98"/>
      <c r="Y52" s="75"/>
      <c r="Z52" s="58"/>
      <c r="AA52" s="77"/>
      <c r="AB52" s="52"/>
      <c r="AC52" s="98"/>
      <c r="AD52" s="58"/>
      <c r="AE52" s="58"/>
      <c r="AF52" s="59"/>
      <c r="AG52" s="52"/>
      <c r="AH52" s="98"/>
      <c r="AI52" s="58"/>
      <c r="AJ52" s="58"/>
      <c r="AK52" s="59"/>
      <c r="AL52" s="52"/>
      <c r="AM52" s="98"/>
      <c r="AN52" s="58"/>
      <c r="AO52" s="58"/>
      <c r="AP52" s="59"/>
      <c r="AQ52" s="52"/>
      <c r="AR52" s="98"/>
      <c r="AS52" s="58"/>
      <c r="AT52" s="58"/>
      <c r="AU52" s="59"/>
      <c r="AV52" s="52"/>
      <c r="AW52" s="98"/>
      <c r="AX52" s="58"/>
      <c r="AY52" s="58"/>
      <c r="AZ52" s="59"/>
      <c r="BA52" s="52"/>
      <c r="BB52" s="98"/>
      <c r="BC52" s="58"/>
      <c r="BD52" s="58"/>
      <c r="BE52" s="59"/>
      <c r="BF52" s="52"/>
      <c r="BG52" s="98"/>
      <c r="BH52" s="62"/>
      <c r="BI52" s="62"/>
      <c r="BJ52" s="63"/>
      <c r="BK52" s="52"/>
      <c r="BL52" s="98"/>
      <c r="BM52" s="58"/>
      <c r="BN52" s="58"/>
      <c r="BO52" s="59"/>
      <c r="BP52" s="52"/>
      <c r="BQ52" s="98"/>
      <c r="BR52" s="58"/>
      <c r="BS52" s="58"/>
      <c r="BT52" s="59"/>
      <c r="BU52" s="52"/>
      <c r="BV52" s="98"/>
      <c r="BW52" s="58"/>
      <c r="BX52" s="58"/>
      <c r="BY52" s="59"/>
      <c r="BZ52" s="52"/>
      <c r="CA52" s="98"/>
      <c r="CB52" s="53"/>
      <c r="CC52" s="51"/>
      <c r="CD52" s="54"/>
      <c r="CE52" s="52"/>
    </row>
    <row r="53" spans="1:83" ht="12.75" customHeight="1" outlineLevel="2">
      <c r="A53" s="71">
        <v>46197.75</v>
      </c>
      <c r="B53" s="34" t="s">
        <v>87</v>
      </c>
      <c r="C53" s="35" t="s">
        <v>97</v>
      </c>
      <c r="D53" s="43">
        <v>2</v>
      </c>
      <c r="E53" s="44" t="s">
        <v>0</v>
      </c>
      <c r="F53" s="43">
        <v>1</v>
      </c>
      <c r="G53">
        <f t="shared" ref="G53" si="85">IF(F53=D53,3,IF(F53&lt;D53,2,IF(F53&gt;D53,1)))</f>
        <v>2</v>
      </c>
      <c r="H53" s="78">
        <v>1</v>
      </c>
      <c r="I53" s="97">
        <f t="shared" ref="I53" si="86">IF(L53=J53,3,IF(L53&gt;J53,1,IF(L53&lt;J53,2)))</f>
        <v>3</v>
      </c>
      <c r="J53" s="56">
        <v>1</v>
      </c>
      <c r="K53" s="56" t="s">
        <v>0</v>
      </c>
      <c r="L53" s="57">
        <v>1</v>
      </c>
      <c r="M53" s="13">
        <f t="shared" ref="M53" si="87">IF(OR(D53="",J53=""),0,IF((J53=D53)*(L53=F53),3,IF(I53=G53,1,0)))</f>
        <v>0</v>
      </c>
      <c r="N53" s="97">
        <f t="shared" ref="N53" si="88">IF(Q53=O53,3,IF(Q53&gt;O53,1,IF(Q53&lt;O53,2)))</f>
        <v>3</v>
      </c>
      <c r="O53" s="56">
        <v>0</v>
      </c>
      <c r="P53" s="56" t="s">
        <v>0</v>
      </c>
      <c r="Q53" s="57">
        <v>0</v>
      </c>
      <c r="R53" s="13">
        <f t="shared" ref="R53" si="89">IF(OR(D53="",O53=""),0,IF((O53=D53)*(Q53=F53),3,IF(N53=G53,1,0)))</f>
        <v>0</v>
      </c>
      <c r="S53" s="97">
        <f t="shared" ref="S53" si="90">IF(V53=T53,3,IF(V53&gt;T53,1,IF(V53&lt;T53,2)))</f>
        <v>2</v>
      </c>
      <c r="T53" s="56">
        <v>3</v>
      </c>
      <c r="U53" s="56" t="s">
        <v>0</v>
      </c>
      <c r="V53" s="57">
        <v>2</v>
      </c>
      <c r="W53" s="13">
        <f t="shared" ref="W53" si="91">IF(OR(D53="",T53=""),0,IF((T53=D53)*(V53=F53),3,IF(S53=G53,1,0)))</f>
        <v>1</v>
      </c>
      <c r="X53" s="97">
        <f t="shared" ref="X53" si="92">IF(AA53=Y53,3,IF(AA53&gt;Y53,1,IF(AA53&lt;Y53,2)))</f>
        <v>2</v>
      </c>
      <c r="Y53" s="74">
        <v>2</v>
      </c>
      <c r="Z53" s="56" t="s">
        <v>0</v>
      </c>
      <c r="AA53" s="76">
        <v>0</v>
      </c>
      <c r="AB53" s="13">
        <f t="shared" ref="AB53" si="93">IF(OR(D53="",Y53=""),0,IF((Y53=D53)*(AA53=F53),3,IF(X53=G53,1,0)))</f>
        <v>1</v>
      </c>
      <c r="AC53" s="97">
        <f t="shared" ref="AC53" si="94">IF(AF53=AD53,3,IF(AF53&gt;AD53,1,IF(AF53&lt;AD53,2)))</f>
        <v>2</v>
      </c>
      <c r="AD53" s="56">
        <v>2</v>
      </c>
      <c r="AE53" s="56" t="s">
        <v>0</v>
      </c>
      <c r="AF53" s="57">
        <v>0</v>
      </c>
      <c r="AG53" s="13">
        <f t="shared" ref="AG53" si="95">IF(OR(D53="",AD53=""),0,IF((AD53=D53)*(AF53=F53),3,IF(AC53=G53,1,0)))</f>
        <v>1</v>
      </c>
      <c r="AH53" s="97">
        <f t="shared" ref="AH53" si="96">IF(AK53=AI53,3,IF(AK53&gt;AI53,1,IF(AK53&lt;AI53,2)))</f>
        <v>3</v>
      </c>
      <c r="AI53" s="56">
        <v>1</v>
      </c>
      <c r="AJ53" s="56" t="s">
        <v>0</v>
      </c>
      <c r="AK53" s="57">
        <v>1</v>
      </c>
      <c r="AL53" s="13">
        <f t="shared" ref="AL53" si="97">IF(OR(D53="",AI53=""),0,IF((AI53=D53)*(AK53=F53),3,IF(AH53=G53,1,0)))</f>
        <v>0</v>
      </c>
      <c r="AM53" s="97">
        <f t="shared" ref="AM53" si="98">IF(AP53=AN53,3,IF(AP53&gt;AN53,1,IF(AP53&lt;AN53,2)))</f>
        <v>3</v>
      </c>
      <c r="AN53" s="56">
        <v>1</v>
      </c>
      <c r="AO53" s="56" t="s">
        <v>0</v>
      </c>
      <c r="AP53" s="57">
        <v>1</v>
      </c>
      <c r="AQ53" s="13">
        <f t="shared" ref="AQ53" si="99">IF(OR(D53="",AN53=""),0,IF((AN53=D53)*(AP53=F53),3,IF(AM53=G53,1,0)))</f>
        <v>0</v>
      </c>
      <c r="AR53" s="97">
        <f t="shared" ref="AR53" si="100">IF(AU53=AS53,3,IF(AU53&gt;AS53,1,IF(AU53&lt;AS53,2)))</f>
        <v>2</v>
      </c>
      <c r="AS53" s="56">
        <v>2</v>
      </c>
      <c r="AT53" s="56" t="s">
        <v>0</v>
      </c>
      <c r="AU53" s="57">
        <v>0</v>
      </c>
      <c r="AV53" s="13">
        <f t="shared" ref="AV53" si="101">IF(OR(D53="",AS53=""),0,IF((AS53=D53)*(AU53=F53),3,IF(AR53=G53,1,0)))</f>
        <v>1</v>
      </c>
      <c r="AW53" s="97">
        <f t="shared" ref="AW53" si="102">IF(AZ53=AX53,3,IF(AZ53&gt;AX53,1,IF(AZ53&lt;AX53,2)))</f>
        <v>2</v>
      </c>
      <c r="AX53" s="56">
        <v>1</v>
      </c>
      <c r="AY53" s="56" t="s">
        <v>0</v>
      </c>
      <c r="AZ53" s="57">
        <v>0</v>
      </c>
      <c r="BA53" s="13">
        <f t="shared" ref="BA53:BA76" si="103">IF(OR(D53="",AX53=""),0,IF((AX53=D53)*(AZ53=F53),3,IF(AW53=G53,1,0)))</f>
        <v>1</v>
      </c>
      <c r="BB53" s="97">
        <f t="shared" ref="BB53" si="104">IF(BE53=BC53,3,IF(BE53&gt;BC53,1,IF(BE53&lt;BC53,2)))</f>
        <v>2</v>
      </c>
      <c r="BC53" s="56">
        <v>2</v>
      </c>
      <c r="BD53" s="56" t="s">
        <v>0</v>
      </c>
      <c r="BE53" s="57">
        <v>1</v>
      </c>
      <c r="BF53" s="13">
        <f t="shared" ref="BF53:BF76" si="105">IF(OR(D53="",BC53=""),0,IF((BC53=D53)*(BE53=F53),3,IF(BB53=G53,1,0)))</f>
        <v>3</v>
      </c>
      <c r="BG53" s="97">
        <f t="shared" si="13"/>
        <v>2</v>
      </c>
      <c r="BH53" s="64">
        <v>2</v>
      </c>
      <c r="BI53" s="64" t="s">
        <v>0</v>
      </c>
      <c r="BJ53" s="65">
        <v>0</v>
      </c>
      <c r="BK53" s="13">
        <f>IF(OR(D53="",BH53=""),0,IF((BH53=D53)*(BJ53=F53),3,IF(BG53=G53,1,0)))</f>
        <v>1</v>
      </c>
      <c r="BL53" s="97">
        <f t="shared" si="14"/>
        <v>2</v>
      </c>
      <c r="BM53" s="56">
        <v>1</v>
      </c>
      <c r="BN53" s="56" t="s">
        <v>0</v>
      </c>
      <c r="BO53" s="57">
        <v>0</v>
      </c>
      <c r="BP53" s="13">
        <f>IF(OR(D53="",BM53=""),0,IF((BM53=D53)*(BO53=F53),3,IF(BL53=G53,1,0)))</f>
        <v>1</v>
      </c>
      <c r="BQ53" s="97">
        <f t="shared" si="15"/>
        <v>3</v>
      </c>
      <c r="BR53" s="56"/>
      <c r="BS53" s="56" t="s">
        <v>0</v>
      </c>
      <c r="BT53" s="57"/>
      <c r="BU53" s="13">
        <f>IF(OR(D53="",BR53=""),0,IF((BR53=D53)*(BT53=F53),3,IF(BQ53=G53,1,0)))</f>
        <v>0</v>
      </c>
      <c r="BV53" s="97">
        <f t="shared" si="16"/>
        <v>3</v>
      </c>
      <c r="BW53" s="56"/>
      <c r="BX53" s="56" t="s">
        <v>0</v>
      </c>
      <c r="BY53" s="57"/>
      <c r="BZ53" s="13">
        <f>IF(OR(D53="",BW53=""),0,IF((BW53=D53)*(BY53=F53),3,IF(BV53=G53,1,0)))</f>
        <v>0</v>
      </c>
      <c r="CA53" s="97">
        <f t="shared" si="17"/>
        <v>3</v>
      </c>
      <c r="CB53" s="25"/>
      <c r="CC53" s="12" t="s">
        <v>0</v>
      </c>
      <c r="CD53" s="26"/>
      <c r="CE53" s="13">
        <f>IF(OR(D53="",CB53=""),0,IF((CB53=D53)*(CD53=F53),3,IF(CA53=G53,1,0)))</f>
        <v>0</v>
      </c>
    </row>
    <row r="54" spans="1:83" ht="12.75" customHeight="1" outlineLevel="2">
      <c r="A54" s="71">
        <v>46197.75</v>
      </c>
      <c r="B54" s="34" t="s">
        <v>98</v>
      </c>
      <c r="C54" s="35" t="s">
        <v>101</v>
      </c>
      <c r="D54" s="43">
        <v>3</v>
      </c>
      <c r="E54" s="44" t="s">
        <v>0</v>
      </c>
      <c r="F54" s="43">
        <v>1</v>
      </c>
      <c r="G54">
        <f t="shared" ref="G54:G73" si="106">IF(F54=D54,3,IF(F54&lt;D54,2,IF(F54&gt;D54,1)))</f>
        <v>2</v>
      </c>
      <c r="H54" s="78">
        <v>2</v>
      </c>
      <c r="I54" s="97">
        <f t="shared" ref="I54:I72" si="107">IF(L54=J54,3,IF(L54&gt;J54,1,IF(L54&lt;J54,2)))</f>
        <v>2</v>
      </c>
      <c r="J54" s="56">
        <v>2</v>
      </c>
      <c r="K54" s="56" t="s">
        <v>0</v>
      </c>
      <c r="L54" s="57">
        <v>0</v>
      </c>
      <c r="M54" s="13">
        <f t="shared" ref="M54:M70" si="108">IF(OR(D54="",J54=""),0,IF((J54=D54)*(L54=F54),3,IF(I54=G54,1,0)))</f>
        <v>1</v>
      </c>
      <c r="N54" s="97">
        <f t="shared" ref="N54:N70" si="109">IF(Q54=O54,3,IF(Q54&gt;O54,1,IF(Q54&lt;O54,2)))</f>
        <v>2</v>
      </c>
      <c r="O54" s="56">
        <v>2</v>
      </c>
      <c r="P54" s="56" t="s">
        <v>0</v>
      </c>
      <c r="Q54" s="57">
        <v>1</v>
      </c>
      <c r="R54" s="13">
        <f t="shared" ref="R54:R70" si="110">IF(OR(D54="",O54=""),0,IF((O54=D54)*(Q54=F54),3,IF(N54=G54,1,0)))</f>
        <v>1</v>
      </c>
      <c r="S54" s="97">
        <f t="shared" ref="S54:S70" si="111">IF(V54=T54,3,IF(V54&gt;T54,1,IF(V54&lt;T54,2)))</f>
        <v>2</v>
      </c>
      <c r="T54" s="56">
        <v>2</v>
      </c>
      <c r="U54" s="56" t="s">
        <v>0</v>
      </c>
      <c r="V54" s="57">
        <v>1</v>
      </c>
      <c r="W54" s="13">
        <f t="shared" ref="W54:W70" si="112">IF(OR(D54="",T54=""),0,IF((T54=D54)*(V54=F54),3,IF(S54=G54,1,0)))</f>
        <v>1</v>
      </c>
      <c r="X54" s="97">
        <f t="shared" ref="X54:X70" si="113">IF(AA54=Y54,3,IF(AA54&gt;Y54,1,IF(AA54&lt;Y54,2)))</f>
        <v>3</v>
      </c>
      <c r="Y54" s="74">
        <v>2</v>
      </c>
      <c r="Z54" s="56" t="s">
        <v>0</v>
      </c>
      <c r="AA54" s="76">
        <v>2</v>
      </c>
      <c r="AB54" s="13">
        <f t="shared" ref="AB54:AB70" si="114">IF(OR(D54="",Y54=""),0,IF((Y54=D54)*(AA54=F54),3,IF(X54=G54,1,0)))</f>
        <v>0</v>
      </c>
      <c r="AC54" s="97">
        <f t="shared" ref="AC54:AC70" si="115">IF(AF54=AD54,3,IF(AF54&gt;AD54,1,IF(AF54&lt;AD54,2)))</f>
        <v>2</v>
      </c>
      <c r="AD54" s="56">
        <v>1</v>
      </c>
      <c r="AE54" s="56" t="s">
        <v>0</v>
      </c>
      <c r="AF54" s="57">
        <v>0</v>
      </c>
      <c r="AG54" s="13">
        <f t="shared" ref="AG54:AG70" si="116">IF(OR(D54="",AD54=""),0,IF((AD54=D54)*(AF54=F54),3,IF(AC54=G54,1,0)))</f>
        <v>1</v>
      </c>
      <c r="AH54" s="97">
        <f t="shared" ref="AH54:AH70" si="117">IF(AK54=AI54,3,IF(AK54&gt;AI54,1,IF(AK54&lt;AI54,2)))</f>
        <v>2</v>
      </c>
      <c r="AI54" s="56">
        <v>2</v>
      </c>
      <c r="AJ54" s="56" t="s">
        <v>0</v>
      </c>
      <c r="AK54" s="57">
        <v>1</v>
      </c>
      <c r="AL54" s="13">
        <f t="shared" ref="AL54:AL70" si="118">IF(OR(D54="",AI54=""),0,IF((AI54=D54)*(AK54=F54),3,IF(AH54=G54,1,0)))</f>
        <v>1</v>
      </c>
      <c r="AM54" s="97">
        <f t="shared" ref="AM54:AM70" si="119">IF(AP54=AN54,3,IF(AP54&gt;AN54,1,IF(AP54&lt;AN54,2)))</f>
        <v>2</v>
      </c>
      <c r="AN54" s="56">
        <v>2</v>
      </c>
      <c r="AO54" s="56" t="s">
        <v>0</v>
      </c>
      <c r="AP54" s="57">
        <v>1</v>
      </c>
      <c r="AQ54" s="13">
        <f t="shared" ref="AQ54:AQ70" si="120">IF(OR(D54="",AN54=""),0,IF((AN54=D54)*(AP54=F54),3,IF(AM54=G54,1,0)))</f>
        <v>1</v>
      </c>
      <c r="AR54" s="97">
        <f t="shared" ref="AR54:AR70" si="121">IF(AU54=AS54,3,IF(AU54&gt;AS54,1,IF(AU54&lt;AS54,2)))</f>
        <v>3</v>
      </c>
      <c r="AS54" s="56">
        <v>0</v>
      </c>
      <c r="AT54" s="56" t="s">
        <v>0</v>
      </c>
      <c r="AU54" s="57">
        <v>0</v>
      </c>
      <c r="AV54" s="13">
        <f t="shared" ref="AV54:AV70" si="122">IF(OR(D54="",AS54=""),0,IF((AS54=D54)*(AU54=F54),3,IF(AR54=G54,1,0)))</f>
        <v>0</v>
      </c>
      <c r="AW54" s="97">
        <f t="shared" ref="AW54:AW70" si="123">IF(AZ54=AX54,3,IF(AZ54&gt;AX54,1,IF(AZ54&lt;AX54,2)))</f>
        <v>3</v>
      </c>
      <c r="AX54" s="56">
        <v>1</v>
      </c>
      <c r="AY54" s="56" t="s">
        <v>0</v>
      </c>
      <c r="AZ54" s="57">
        <v>1</v>
      </c>
      <c r="BA54" s="13">
        <f t="shared" si="103"/>
        <v>0</v>
      </c>
      <c r="BB54" s="97">
        <f t="shared" ref="BB54:BB70" si="124">IF(BE54=BC54,3,IF(BE54&gt;BC54,1,IF(BE54&lt;BC54,2)))</f>
        <v>2</v>
      </c>
      <c r="BC54" s="56">
        <v>2</v>
      </c>
      <c r="BD54" s="56" t="s">
        <v>0</v>
      </c>
      <c r="BE54" s="57">
        <v>0</v>
      </c>
      <c r="BF54" s="13">
        <f t="shared" si="105"/>
        <v>1</v>
      </c>
      <c r="BG54" s="97">
        <f t="shared" si="13"/>
        <v>2</v>
      </c>
      <c r="BH54" s="64">
        <v>2</v>
      </c>
      <c r="BI54" s="64" t="s">
        <v>0</v>
      </c>
      <c r="BJ54" s="65">
        <v>1</v>
      </c>
      <c r="BK54" s="13">
        <f t="shared" ref="BK54:BK74" si="125">IF(OR(D54="",BH54=""),0,IF((BH54=D54)*(BJ54=F54),3,IF(BG54=G54,1,0)))</f>
        <v>1</v>
      </c>
      <c r="BL54" s="97">
        <f t="shared" si="14"/>
        <v>1</v>
      </c>
      <c r="BM54" s="56">
        <v>0</v>
      </c>
      <c r="BN54" s="56" t="s">
        <v>0</v>
      </c>
      <c r="BO54" s="57">
        <v>1</v>
      </c>
      <c r="BP54" s="13">
        <f t="shared" ref="BP54:BP72" si="126">IF(OR(D54="",BM54=""),0,IF((BM54=D54)*(BO54=F54),3,IF(BL54=G54,1,0)))</f>
        <v>0</v>
      </c>
      <c r="BQ54" s="97">
        <f t="shared" si="15"/>
        <v>3</v>
      </c>
      <c r="BR54" s="56"/>
      <c r="BS54" s="56"/>
      <c r="BT54" s="57"/>
      <c r="BU54" s="13">
        <f t="shared" ref="BU54:BU73" si="127">IF(OR(D54="",BR54=""),0,IF((BR54=D54)*(BT54=F54),3,IF(BQ54=G54,1,0)))</f>
        <v>0</v>
      </c>
      <c r="BV54" s="97">
        <f t="shared" si="16"/>
        <v>3</v>
      </c>
      <c r="BW54" s="56"/>
      <c r="BX54" s="56"/>
      <c r="BY54" s="57"/>
      <c r="BZ54" s="13"/>
      <c r="CA54" s="97">
        <f t="shared" si="17"/>
        <v>3</v>
      </c>
      <c r="CB54" s="25"/>
      <c r="CC54" s="12" t="s">
        <v>0</v>
      </c>
      <c r="CD54" s="26"/>
      <c r="CE54" s="13">
        <f t="shared" ref="CE54:CE73" si="128">IF(OR(D54="",CB54=""),0,IF((CB54=D54)*(CD54=F54),3,IF(CA54=G54,1,0)))</f>
        <v>0</v>
      </c>
    </row>
    <row r="55" spans="1:83" ht="12.75" customHeight="1" outlineLevel="2">
      <c r="A55" s="71">
        <v>46198.125</v>
      </c>
      <c r="B55" s="34" t="s">
        <v>96</v>
      </c>
      <c r="C55" s="35" t="s">
        <v>93</v>
      </c>
      <c r="D55" s="43">
        <v>0</v>
      </c>
      <c r="E55" s="44" t="s">
        <v>0</v>
      </c>
      <c r="F55" s="43">
        <v>3</v>
      </c>
      <c r="G55">
        <f t="shared" si="106"/>
        <v>1</v>
      </c>
      <c r="H55" s="78">
        <v>3</v>
      </c>
      <c r="I55" s="97">
        <f t="shared" si="107"/>
        <v>3</v>
      </c>
      <c r="J55" s="56">
        <v>1</v>
      </c>
      <c r="K55" s="56" t="s">
        <v>0</v>
      </c>
      <c r="L55" s="57">
        <v>1</v>
      </c>
      <c r="M55" s="13">
        <f t="shared" si="108"/>
        <v>0</v>
      </c>
      <c r="N55" s="97">
        <f t="shared" si="109"/>
        <v>3</v>
      </c>
      <c r="O55" s="56">
        <v>1</v>
      </c>
      <c r="P55" s="56" t="s">
        <v>0</v>
      </c>
      <c r="Q55" s="57">
        <v>1</v>
      </c>
      <c r="R55" s="13">
        <f t="shared" si="110"/>
        <v>0</v>
      </c>
      <c r="S55" s="97">
        <f t="shared" si="111"/>
        <v>1</v>
      </c>
      <c r="T55" s="56">
        <v>1</v>
      </c>
      <c r="U55" s="56" t="s">
        <v>0</v>
      </c>
      <c r="V55" s="57">
        <v>2</v>
      </c>
      <c r="W55" s="13">
        <f t="shared" si="112"/>
        <v>1</v>
      </c>
      <c r="X55" s="97">
        <f t="shared" si="113"/>
        <v>3</v>
      </c>
      <c r="Y55" s="74">
        <v>1</v>
      </c>
      <c r="Z55" s="56" t="s">
        <v>0</v>
      </c>
      <c r="AA55" s="76">
        <v>1</v>
      </c>
      <c r="AB55" s="13">
        <f t="shared" si="114"/>
        <v>0</v>
      </c>
      <c r="AC55" s="97">
        <f t="shared" si="115"/>
        <v>3</v>
      </c>
      <c r="AD55" s="56">
        <v>2</v>
      </c>
      <c r="AE55" s="56" t="s">
        <v>0</v>
      </c>
      <c r="AF55" s="57">
        <v>2</v>
      </c>
      <c r="AG55" s="13">
        <f t="shared" si="116"/>
        <v>0</v>
      </c>
      <c r="AH55" s="97">
        <f t="shared" si="117"/>
        <v>1</v>
      </c>
      <c r="AI55" s="56">
        <v>1</v>
      </c>
      <c r="AJ55" s="56" t="s">
        <v>0</v>
      </c>
      <c r="AK55" s="57">
        <v>2</v>
      </c>
      <c r="AL55" s="13">
        <f t="shared" si="118"/>
        <v>1</v>
      </c>
      <c r="AM55" s="97">
        <f t="shared" si="119"/>
        <v>1</v>
      </c>
      <c r="AN55" s="56">
        <v>1</v>
      </c>
      <c r="AO55" s="56" t="s">
        <v>0</v>
      </c>
      <c r="AP55" s="57">
        <v>2</v>
      </c>
      <c r="AQ55" s="13">
        <f t="shared" si="120"/>
        <v>1</v>
      </c>
      <c r="AR55" s="97">
        <f t="shared" si="121"/>
        <v>3</v>
      </c>
      <c r="AS55" s="56">
        <v>1</v>
      </c>
      <c r="AT55" s="56" t="s">
        <v>0</v>
      </c>
      <c r="AU55" s="57">
        <v>1</v>
      </c>
      <c r="AV55" s="13">
        <f t="shared" si="122"/>
        <v>0</v>
      </c>
      <c r="AW55" s="97">
        <f t="shared" si="123"/>
        <v>3</v>
      </c>
      <c r="AX55" s="56">
        <v>1</v>
      </c>
      <c r="AY55" s="56" t="s">
        <v>0</v>
      </c>
      <c r="AZ55" s="57">
        <v>1</v>
      </c>
      <c r="BA55" s="13">
        <f t="shared" si="103"/>
        <v>0</v>
      </c>
      <c r="BB55" s="97">
        <f t="shared" si="124"/>
        <v>2</v>
      </c>
      <c r="BC55" s="56">
        <v>2</v>
      </c>
      <c r="BD55" s="56" t="s">
        <v>0</v>
      </c>
      <c r="BE55" s="57">
        <v>0</v>
      </c>
      <c r="BF55" s="13">
        <f t="shared" si="105"/>
        <v>0</v>
      </c>
      <c r="BG55" s="97">
        <f t="shared" si="13"/>
        <v>2</v>
      </c>
      <c r="BH55" s="64">
        <v>1</v>
      </c>
      <c r="BI55" s="64" t="s">
        <v>0</v>
      </c>
      <c r="BJ55" s="65">
        <v>0</v>
      </c>
      <c r="BK55" s="13">
        <f t="shared" si="125"/>
        <v>0</v>
      </c>
      <c r="BL55" s="97">
        <f t="shared" si="14"/>
        <v>1</v>
      </c>
      <c r="BM55" s="56">
        <v>1</v>
      </c>
      <c r="BN55" s="56" t="s">
        <v>0</v>
      </c>
      <c r="BO55" s="57">
        <v>2</v>
      </c>
      <c r="BP55" s="13">
        <f t="shared" si="126"/>
        <v>1</v>
      </c>
      <c r="BQ55" s="97">
        <f t="shared" si="15"/>
        <v>3</v>
      </c>
      <c r="BR55" s="56"/>
      <c r="BS55" s="56"/>
      <c r="BT55" s="57"/>
      <c r="BU55" s="13">
        <f t="shared" si="127"/>
        <v>0</v>
      </c>
      <c r="BV55" s="97">
        <f t="shared" si="16"/>
        <v>3</v>
      </c>
      <c r="BW55" s="56"/>
      <c r="BX55" s="56"/>
      <c r="BY55" s="57"/>
      <c r="BZ55" s="13"/>
      <c r="CA55" s="97">
        <f t="shared" si="17"/>
        <v>3</v>
      </c>
      <c r="CB55" s="25"/>
      <c r="CC55" s="12" t="s">
        <v>0</v>
      </c>
      <c r="CD55" s="26"/>
      <c r="CE55" s="13">
        <f t="shared" si="128"/>
        <v>0</v>
      </c>
    </row>
    <row r="56" spans="1:83" ht="12.75" customHeight="1" outlineLevel="2">
      <c r="A56" s="71">
        <v>46198.125</v>
      </c>
      <c r="B56" s="34" t="s">
        <v>94</v>
      </c>
      <c r="C56" s="35" t="s">
        <v>95</v>
      </c>
      <c r="D56" s="43">
        <v>1</v>
      </c>
      <c r="E56" s="44" t="s">
        <v>0</v>
      </c>
      <c r="F56" s="43">
        <v>0</v>
      </c>
      <c r="G56">
        <f t="shared" si="106"/>
        <v>2</v>
      </c>
      <c r="H56" s="78">
        <v>4</v>
      </c>
      <c r="I56" s="97">
        <f t="shared" si="107"/>
        <v>1</v>
      </c>
      <c r="J56" s="56">
        <v>0</v>
      </c>
      <c r="K56" s="56" t="s">
        <v>0</v>
      </c>
      <c r="L56" s="57">
        <v>2</v>
      </c>
      <c r="M56" s="13">
        <f t="shared" si="108"/>
        <v>0</v>
      </c>
      <c r="N56" s="97">
        <f t="shared" si="109"/>
        <v>2</v>
      </c>
      <c r="O56" s="56">
        <v>2</v>
      </c>
      <c r="P56" s="56" t="s">
        <v>0</v>
      </c>
      <c r="Q56" s="57">
        <v>1</v>
      </c>
      <c r="R56" s="13">
        <f t="shared" si="110"/>
        <v>1</v>
      </c>
      <c r="S56" s="97">
        <f t="shared" si="111"/>
        <v>1</v>
      </c>
      <c r="T56" s="56">
        <v>1</v>
      </c>
      <c r="U56" s="56" t="s">
        <v>0</v>
      </c>
      <c r="V56" s="57">
        <v>2</v>
      </c>
      <c r="W56" s="13">
        <f t="shared" si="112"/>
        <v>0</v>
      </c>
      <c r="X56" s="97">
        <f t="shared" si="113"/>
        <v>3</v>
      </c>
      <c r="Y56" s="74">
        <v>1</v>
      </c>
      <c r="Z56" s="56" t="s">
        <v>0</v>
      </c>
      <c r="AA56" s="76">
        <v>1</v>
      </c>
      <c r="AB56" s="13">
        <f t="shared" si="114"/>
        <v>0</v>
      </c>
      <c r="AC56" s="97">
        <f t="shared" si="115"/>
        <v>3</v>
      </c>
      <c r="AD56" s="56">
        <v>1</v>
      </c>
      <c r="AE56" s="56" t="s">
        <v>0</v>
      </c>
      <c r="AF56" s="57">
        <v>1</v>
      </c>
      <c r="AG56" s="13">
        <f t="shared" si="116"/>
        <v>0</v>
      </c>
      <c r="AH56" s="97">
        <f t="shared" si="117"/>
        <v>1</v>
      </c>
      <c r="AI56" s="56">
        <v>0</v>
      </c>
      <c r="AJ56" s="56" t="s">
        <v>0</v>
      </c>
      <c r="AK56" s="57">
        <v>2</v>
      </c>
      <c r="AL56" s="13">
        <f t="shared" si="118"/>
        <v>0</v>
      </c>
      <c r="AM56" s="97">
        <f t="shared" si="119"/>
        <v>3</v>
      </c>
      <c r="AN56" s="56">
        <v>1</v>
      </c>
      <c r="AO56" s="56" t="s">
        <v>0</v>
      </c>
      <c r="AP56" s="57">
        <v>1</v>
      </c>
      <c r="AQ56" s="13">
        <f t="shared" si="120"/>
        <v>0</v>
      </c>
      <c r="AR56" s="97">
        <f t="shared" si="121"/>
        <v>3</v>
      </c>
      <c r="AS56" s="56">
        <v>1</v>
      </c>
      <c r="AT56" s="56" t="s">
        <v>0</v>
      </c>
      <c r="AU56" s="57">
        <v>1</v>
      </c>
      <c r="AV56" s="13">
        <f t="shared" si="122"/>
        <v>0</v>
      </c>
      <c r="AW56" s="97">
        <f t="shared" si="123"/>
        <v>2</v>
      </c>
      <c r="AX56" s="56">
        <v>2</v>
      </c>
      <c r="AY56" s="56" t="s">
        <v>0</v>
      </c>
      <c r="AZ56" s="57">
        <v>1</v>
      </c>
      <c r="BA56" s="13">
        <f t="shared" si="103"/>
        <v>1</v>
      </c>
      <c r="BB56" s="97">
        <f t="shared" si="124"/>
        <v>1</v>
      </c>
      <c r="BC56" s="56">
        <v>0</v>
      </c>
      <c r="BD56" s="56" t="s">
        <v>0</v>
      </c>
      <c r="BE56" s="57">
        <v>1</v>
      </c>
      <c r="BF56" s="13">
        <f t="shared" si="105"/>
        <v>0</v>
      </c>
      <c r="BG56" s="97">
        <f t="shared" si="13"/>
        <v>1</v>
      </c>
      <c r="BH56" s="64">
        <v>0</v>
      </c>
      <c r="BI56" s="64" t="s">
        <v>0</v>
      </c>
      <c r="BJ56" s="65">
        <v>2</v>
      </c>
      <c r="BK56" s="13">
        <f t="shared" si="125"/>
        <v>0</v>
      </c>
      <c r="BL56" s="97">
        <f t="shared" si="14"/>
        <v>2</v>
      </c>
      <c r="BM56" s="56">
        <v>1</v>
      </c>
      <c r="BN56" s="56" t="s">
        <v>0</v>
      </c>
      <c r="BO56" s="57">
        <v>0</v>
      </c>
      <c r="BP56" s="13">
        <f t="shared" si="126"/>
        <v>3</v>
      </c>
      <c r="BQ56" s="97">
        <f t="shared" si="15"/>
        <v>3</v>
      </c>
      <c r="BR56" s="56"/>
      <c r="BS56" s="56"/>
      <c r="BT56" s="57"/>
      <c r="BU56" s="13">
        <f t="shared" si="127"/>
        <v>0</v>
      </c>
      <c r="BV56" s="97">
        <f t="shared" si="16"/>
        <v>3</v>
      </c>
      <c r="BW56" s="56"/>
      <c r="BX56" s="56"/>
      <c r="BY56" s="57"/>
      <c r="BZ56" s="13"/>
      <c r="CA56" s="97">
        <f t="shared" si="17"/>
        <v>3</v>
      </c>
      <c r="CB56" s="25"/>
      <c r="CC56" s="12" t="s">
        <v>0</v>
      </c>
      <c r="CD56" s="26"/>
      <c r="CE56" s="13">
        <f t="shared" si="128"/>
        <v>0</v>
      </c>
    </row>
    <row r="57" spans="1:83" ht="12.75" customHeight="1" outlineLevel="2">
      <c r="A57" s="71">
        <v>46198.75</v>
      </c>
      <c r="B57" s="34" t="s">
        <v>88</v>
      </c>
      <c r="C57" s="35" t="s">
        <v>102</v>
      </c>
      <c r="D57" s="43">
        <v>0</v>
      </c>
      <c r="E57" s="44" t="s">
        <v>0</v>
      </c>
      <c r="F57" s="43">
        <v>3</v>
      </c>
      <c r="G57">
        <f t="shared" si="106"/>
        <v>1</v>
      </c>
      <c r="H57" s="78">
        <v>5</v>
      </c>
      <c r="I57" s="97">
        <f t="shared" si="107"/>
        <v>1</v>
      </c>
      <c r="J57" s="56">
        <v>1</v>
      </c>
      <c r="K57" s="56" t="s">
        <v>0</v>
      </c>
      <c r="L57" s="57">
        <v>3</v>
      </c>
      <c r="M57" s="13">
        <f t="shared" si="108"/>
        <v>1</v>
      </c>
      <c r="N57" s="97">
        <f t="shared" si="109"/>
        <v>1</v>
      </c>
      <c r="O57" s="56">
        <v>1</v>
      </c>
      <c r="P57" s="56" t="s">
        <v>0</v>
      </c>
      <c r="Q57" s="57">
        <v>3</v>
      </c>
      <c r="R57" s="13">
        <f t="shared" si="110"/>
        <v>1</v>
      </c>
      <c r="S57" s="97">
        <f t="shared" si="111"/>
        <v>1</v>
      </c>
      <c r="T57" s="56">
        <v>2</v>
      </c>
      <c r="U57" s="56" t="s">
        <v>0</v>
      </c>
      <c r="V57" s="57">
        <v>4</v>
      </c>
      <c r="W57" s="13">
        <f t="shared" si="112"/>
        <v>1</v>
      </c>
      <c r="X57" s="97">
        <f t="shared" si="113"/>
        <v>1</v>
      </c>
      <c r="Y57" s="74">
        <v>0</v>
      </c>
      <c r="Z57" s="56" t="s">
        <v>0</v>
      </c>
      <c r="AA57" s="76">
        <v>3</v>
      </c>
      <c r="AB57" s="13">
        <f t="shared" si="114"/>
        <v>3</v>
      </c>
      <c r="AC57" s="97">
        <f t="shared" si="115"/>
        <v>1</v>
      </c>
      <c r="AD57" s="56">
        <v>1</v>
      </c>
      <c r="AE57" s="56" t="s">
        <v>0</v>
      </c>
      <c r="AF57" s="57">
        <v>2</v>
      </c>
      <c r="AG57" s="13">
        <f t="shared" si="116"/>
        <v>1</v>
      </c>
      <c r="AH57" s="97">
        <f t="shared" si="117"/>
        <v>1</v>
      </c>
      <c r="AI57" s="56">
        <v>0</v>
      </c>
      <c r="AJ57" s="56" t="s">
        <v>0</v>
      </c>
      <c r="AK57" s="57">
        <v>2</v>
      </c>
      <c r="AL57" s="13">
        <f t="shared" si="118"/>
        <v>1</v>
      </c>
      <c r="AM57" s="97">
        <f t="shared" si="119"/>
        <v>1</v>
      </c>
      <c r="AN57" s="56">
        <v>1</v>
      </c>
      <c r="AO57" s="56" t="s">
        <v>0</v>
      </c>
      <c r="AP57" s="57">
        <v>3</v>
      </c>
      <c r="AQ57" s="13">
        <f t="shared" si="120"/>
        <v>1</v>
      </c>
      <c r="AR57" s="97">
        <f t="shared" si="121"/>
        <v>1</v>
      </c>
      <c r="AS57" s="56">
        <v>1</v>
      </c>
      <c r="AT57" s="56" t="s">
        <v>0</v>
      </c>
      <c r="AU57" s="57">
        <v>2</v>
      </c>
      <c r="AV57" s="13">
        <f t="shared" si="122"/>
        <v>1</v>
      </c>
      <c r="AW57" s="97">
        <f t="shared" si="123"/>
        <v>1</v>
      </c>
      <c r="AX57" s="56">
        <v>0</v>
      </c>
      <c r="AY57" s="56" t="s">
        <v>0</v>
      </c>
      <c r="AZ57" s="57">
        <v>1</v>
      </c>
      <c r="BA57" s="13">
        <f t="shared" si="103"/>
        <v>1</v>
      </c>
      <c r="BB57" s="97">
        <f t="shared" si="124"/>
        <v>1</v>
      </c>
      <c r="BC57" s="56">
        <v>1</v>
      </c>
      <c r="BD57" s="56" t="s">
        <v>0</v>
      </c>
      <c r="BE57" s="57">
        <v>3</v>
      </c>
      <c r="BF57" s="13">
        <f t="shared" si="105"/>
        <v>1</v>
      </c>
      <c r="BG57" s="97">
        <f t="shared" si="13"/>
        <v>1</v>
      </c>
      <c r="BH57" s="64">
        <v>0</v>
      </c>
      <c r="BI57" s="64" t="s">
        <v>0</v>
      </c>
      <c r="BJ57" s="65">
        <v>3</v>
      </c>
      <c r="BK57" s="13">
        <f t="shared" si="125"/>
        <v>3</v>
      </c>
      <c r="BL57" s="97">
        <f t="shared" si="14"/>
        <v>1</v>
      </c>
      <c r="BM57" s="56">
        <v>1</v>
      </c>
      <c r="BN57" s="56" t="s">
        <v>0</v>
      </c>
      <c r="BO57" s="57">
        <v>2</v>
      </c>
      <c r="BP57" s="13">
        <f t="shared" si="126"/>
        <v>1</v>
      </c>
      <c r="BQ57" s="97">
        <f t="shared" si="15"/>
        <v>3</v>
      </c>
      <c r="BR57" s="56"/>
      <c r="BS57" s="56"/>
      <c r="BT57" s="57"/>
      <c r="BU57" s="13">
        <f t="shared" si="127"/>
        <v>0</v>
      </c>
      <c r="BV57" s="97">
        <f t="shared" si="16"/>
        <v>3</v>
      </c>
      <c r="BW57" s="56"/>
      <c r="BX57" s="56"/>
      <c r="BY57" s="57"/>
      <c r="BZ57" s="13"/>
      <c r="CA57" s="97">
        <f t="shared" si="17"/>
        <v>3</v>
      </c>
      <c r="CB57" s="25"/>
      <c r="CC57" s="12" t="s">
        <v>0</v>
      </c>
      <c r="CD57" s="26"/>
      <c r="CE57" s="13">
        <f t="shared" si="128"/>
        <v>0</v>
      </c>
    </row>
    <row r="58" spans="1:83" ht="12.75" customHeight="1" outlineLevel="2">
      <c r="A58" s="71">
        <v>46198.75</v>
      </c>
      <c r="B58" s="34" t="s">
        <v>103</v>
      </c>
      <c r="C58" s="35" t="s">
        <v>78</v>
      </c>
      <c r="D58" s="43">
        <v>4</v>
      </c>
      <c r="E58" s="44" t="s">
        <v>0</v>
      </c>
      <c r="F58" s="43">
        <v>2</v>
      </c>
      <c r="G58">
        <f t="shared" si="106"/>
        <v>2</v>
      </c>
      <c r="H58" s="78">
        <v>6</v>
      </c>
      <c r="I58" s="97">
        <f t="shared" si="107"/>
        <v>2</v>
      </c>
      <c r="J58" s="56">
        <v>3</v>
      </c>
      <c r="K58" s="56" t="s">
        <v>0</v>
      </c>
      <c r="L58" s="57">
        <v>0</v>
      </c>
      <c r="M58" s="13">
        <f t="shared" si="108"/>
        <v>1</v>
      </c>
      <c r="N58" s="97">
        <f t="shared" si="109"/>
        <v>2</v>
      </c>
      <c r="O58" s="56">
        <v>2</v>
      </c>
      <c r="P58" s="56" t="s">
        <v>0</v>
      </c>
      <c r="Q58" s="57">
        <v>1</v>
      </c>
      <c r="R58" s="13">
        <f t="shared" si="110"/>
        <v>1</v>
      </c>
      <c r="S58" s="97">
        <f t="shared" si="111"/>
        <v>2</v>
      </c>
      <c r="T58" s="56">
        <v>3</v>
      </c>
      <c r="U58" s="56" t="s">
        <v>0</v>
      </c>
      <c r="V58" s="57">
        <v>1</v>
      </c>
      <c r="W58" s="13">
        <f t="shared" si="112"/>
        <v>1</v>
      </c>
      <c r="X58" s="97">
        <f t="shared" si="113"/>
        <v>3</v>
      </c>
      <c r="Y58" s="74">
        <v>2</v>
      </c>
      <c r="Z58" s="56" t="s">
        <v>0</v>
      </c>
      <c r="AA58" s="76">
        <v>2</v>
      </c>
      <c r="AB58" s="13">
        <f t="shared" si="114"/>
        <v>0</v>
      </c>
      <c r="AC58" s="97">
        <f t="shared" si="115"/>
        <v>2</v>
      </c>
      <c r="AD58" s="56">
        <v>2</v>
      </c>
      <c r="AE58" s="56" t="s">
        <v>0</v>
      </c>
      <c r="AF58" s="57">
        <v>1</v>
      </c>
      <c r="AG58" s="13">
        <f t="shared" si="116"/>
        <v>1</v>
      </c>
      <c r="AH58" s="97">
        <f t="shared" si="117"/>
        <v>2</v>
      </c>
      <c r="AI58" s="56">
        <v>2</v>
      </c>
      <c r="AJ58" s="56" t="s">
        <v>0</v>
      </c>
      <c r="AK58" s="57">
        <v>1</v>
      </c>
      <c r="AL58" s="13">
        <f t="shared" si="118"/>
        <v>1</v>
      </c>
      <c r="AM58" s="97">
        <f t="shared" si="119"/>
        <v>2</v>
      </c>
      <c r="AN58" s="56">
        <v>3</v>
      </c>
      <c r="AO58" s="56" t="s">
        <v>0</v>
      </c>
      <c r="AP58" s="57">
        <v>0</v>
      </c>
      <c r="AQ58" s="13">
        <f t="shared" si="120"/>
        <v>1</v>
      </c>
      <c r="AR58" s="97">
        <f t="shared" si="121"/>
        <v>3</v>
      </c>
      <c r="AS58" s="56">
        <v>0</v>
      </c>
      <c r="AT58" s="56" t="s">
        <v>0</v>
      </c>
      <c r="AU58" s="57">
        <v>0</v>
      </c>
      <c r="AV58" s="13">
        <f t="shared" si="122"/>
        <v>0</v>
      </c>
      <c r="AW58" s="97">
        <f t="shared" si="123"/>
        <v>1</v>
      </c>
      <c r="AX58" s="56">
        <v>0</v>
      </c>
      <c r="AY58" s="56" t="s">
        <v>0</v>
      </c>
      <c r="AZ58" s="57">
        <v>1</v>
      </c>
      <c r="BA58" s="13">
        <f t="shared" si="103"/>
        <v>0</v>
      </c>
      <c r="BB58" s="97">
        <f t="shared" si="124"/>
        <v>2</v>
      </c>
      <c r="BC58" s="56">
        <v>3</v>
      </c>
      <c r="BD58" s="56" t="s">
        <v>0</v>
      </c>
      <c r="BE58" s="57">
        <v>0</v>
      </c>
      <c r="BF58" s="13">
        <f t="shared" si="105"/>
        <v>1</v>
      </c>
      <c r="BG58" s="97">
        <f t="shared" si="13"/>
        <v>2</v>
      </c>
      <c r="BH58" s="64">
        <v>4</v>
      </c>
      <c r="BI58" s="64" t="s">
        <v>0</v>
      </c>
      <c r="BJ58" s="65">
        <v>0</v>
      </c>
      <c r="BK58" s="13">
        <f t="shared" si="125"/>
        <v>1</v>
      </c>
      <c r="BL58" s="97">
        <f t="shared" si="14"/>
        <v>2</v>
      </c>
      <c r="BM58" s="56">
        <v>1</v>
      </c>
      <c r="BN58" s="56" t="s">
        <v>0</v>
      </c>
      <c r="BO58" s="57">
        <v>0</v>
      </c>
      <c r="BP58" s="13">
        <f t="shared" si="126"/>
        <v>1</v>
      </c>
      <c r="BQ58" s="97">
        <f t="shared" si="15"/>
        <v>3</v>
      </c>
      <c r="BR58" s="56"/>
      <c r="BS58" s="56"/>
      <c r="BT58" s="57"/>
      <c r="BU58" s="13">
        <f t="shared" si="127"/>
        <v>0</v>
      </c>
      <c r="BV58" s="97">
        <f t="shared" si="16"/>
        <v>3</v>
      </c>
      <c r="BW58" s="56"/>
      <c r="BX58" s="56"/>
      <c r="BY58" s="57"/>
      <c r="BZ58" s="13"/>
      <c r="CA58" s="97">
        <f t="shared" si="17"/>
        <v>3</v>
      </c>
      <c r="CB58" s="25"/>
      <c r="CC58" s="12" t="s">
        <v>0</v>
      </c>
      <c r="CD58" s="26"/>
      <c r="CE58" s="13">
        <f t="shared" si="128"/>
        <v>0</v>
      </c>
    </row>
    <row r="59" spans="1:83" ht="12.75" customHeight="1" outlineLevel="2">
      <c r="A59" s="71">
        <v>46198.916666666664</v>
      </c>
      <c r="B59" s="34" t="s">
        <v>84</v>
      </c>
      <c r="C59" s="35" t="s">
        <v>106</v>
      </c>
      <c r="D59" s="43">
        <v>0</v>
      </c>
      <c r="E59" s="44" t="s">
        <v>0</v>
      </c>
      <c r="F59" s="43">
        <v>2</v>
      </c>
      <c r="G59">
        <f t="shared" si="106"/>
        <v>1</v>
      </c>
      <c r="H59" s="78">
        <v>7</v>
      </c>
      <c r="I59" s="97">
        <f t="shared" si="107"/>
        <v>1</v>
      </c>
      <c r="J59" s="56">
        <v>0</v>
      </c>
      <c r="K59" s="56" t="s">
        <v>0</v>
      </c>
      <c r="L59" s="57">
        <v>3</v>
      </c>
      <c r="M59" s="13">
        <f t="shared" si="108"/>
        <v>1</v>
      </c>
      <c r="N59" s="97">
        <f t="shared" si="109"/>
        <v>1</v>
      </c>
      <c r="O59" s="56">
        <v>1</v>
      </c>
      <c r="P59" s="56" t="s">
        <v>0</v>
      </c>
      <c r="Q59" s="57">
        <v>2</v>
      </c>
      <c r="R59" s="13">
        <f t="shared" si="110"/>
        <v>1</v>
      </c>
      <c r="S59" s="97">
        <f t="shared" si="111"/>
        <v>2</v>
      </c>
      <c r="T59" s="56">
        <v>3</v>
      </c>
      <c r="U59" s="56" t="s">
        <v>0</v>
      </c>
      <c r="V59" s="57">
        <v>1</v>
      </c>
      <c r="W59" s="13">
        <f t="shared" si="112"/>
        <v>0</v>
      </c>
      <c r="X59" s="97">
        <f t="shared" si="113"/>
        <v>3</v>
      </c>
      <c r="Y59" s="74">
        <v>2</v>
      </c>
      <c r="Z59" s="56" t="s">
        <v>0</v>
      </c>
      <c r="AA59" s="76">
        <v>2</v>
      </c>
      <c r="AB59" s="13">
        <f t="shared" si="114"/>
        <v>0</v>
      </c>
      <c r="AC59" s="97">
        <f t="shared" si="115"/>
        <v>1</v>
      </c>
      <c r="AD59" s="56">
        <v>0</v>
      </c>
      <c r="AE59" s="56" t="s">
        <v>0</v>
      </c>
      <c r="AF59" s="57">
        <v>2</v>
      </c>
      <c r="AG59" s="13">
        <f t="shared" si="116"/>
        <v>3</v>
      </c>
      <c r="AH59" s="97">
        <f t="shared" si="117"/>
        <v>1</v>
      </c>
      <c r="AI59" s="56">
        <v>0</v>
      </c>
      <c r="AJ59" s="56" t="s">
        <v>0</v>
      </c>
      <c r="AK59" s="57">
        <v>1</v>
      </c>
      <c r="AL59" s="13">
        <f t="shared" si="118"/>
        <v>1</v>
      </c>
      <c r="AM59" s="97">
        <f t="shared" si="119"/>
        <v>1</v>
      </c>
      <c r="AN59" s="56">
        <v>0</v>
      </c>
      <c r="AO59" s="56" t="s">
        <v>0</v>
      </c>
      <c r="AP59" s="57">
        <v>1</v>
      </c>
      <c r="AQ59" s="13">
        <f t="shared" si="120"/>
        <v>1</v>
      </c>
      <c r="AR59" s="97">
        <f t="shared" si="121"/>
        <v>3</v>
      </c>
      <c r="AS59" s="56">
        <v>0</v>
      </c>
      <c r="AT59" s="56" t="s">
        <v>0</v>
      </c>
      <c r="AU59" s="57">
        <v>0</v>
      </c>
      <c r="AV59" s="13">
        <f t="shared" si="122"/>
        <v>0</v>
      </c>
      <c r="AW59" s="97">
        <f t="shared" si="123"/>
        <v>1</v>
      </c>
      <c r="AX59" s="56">
        <v>1</v>
      </c>
      <c r="AY59" s="56" t="s">
        <v>0</v>
      </c>
      <c r="AZ59" s="57">
        <v>3</v>
      </c>
      <c r="BA59" s="13">
        <f t="shared" si="103"/>
        <v>1</v>
      </c>
      <c r="BB59" s="97">
        <f t="shared" si="124"/>
        <v>3</v>
      </c>
      <c r="BC59" s="56">
        <v>0</v>
      </c>
      <c r="BD59" s="56" t="s">
        <v>0</v>
      </c>
      <c r="BE59" s="57">
        <v>0</v>
      </c>
      <c r="BF59" s="13">
        <f t="shared" si="105"/>
        <v>0</v>
      </c>
      <c r="BG59" s="97">
        <f t="shared" si="13"/>
        <v>1</v>
      </c>
      <c r="BH59" s="64">
        <v>0</v>
      </c>
      <c r="BI59" s="64" t="s">
        <v>0</v>
      </c>
      <c r="BJ59" s="65">
        <v>4</v>
      </c>
      <c r="BK59" s="13">
        <f t="shared" si="125"/>
        <v>1</v>
      </c>
      <c r="BL59" s="97">
        <f t="shared" si="14"/>
        <v>1</v>
      </c>
      <c r="BM59" s="56">
        <v>0</v>
      </c>
      <c r="BN59" s="56" t="s">
        <v>0</v>
      </c>
      <c r="BO59" s="57">
        <v>2</v>
      </c>
      <c r="BP59" s="13">
        <f t="shared" si="126"/>
        <v>3</v>
      </c>
      <c r="BQ59" s="97">
        <f t="shared" si="15"/>
        <v>3</v>
      </c>
      <c r="BR59" s="56"/>
      <c r="BS59" s="56"/>
      <c r="BT59" s="57"/>
      <c r="BU59" s="13">
        <f t="shared" si="127"/>
        <v>0</v>
      </c>
      <c r="BV59" s="97">
        <f t="shared" si="16"/>
        <v>3</v>
      </c>
      <c r="BW59" s="56"/>
      <c r="BX59" s="56"/>
      <c r="BY59" s="57"/>
      <c r="BZ59" s="13"/>
      <c r="CA59" s="97">
        <f t="shared" si="17"/>
        <v>3</v>
      </c>
      <c r="CB59" s="25"/>
      <c r="CC59" s="12" t="s">
        <v>0</v>
      </c>
      <c r="CD59" s="26"/>
      <c r="CE59" s="13">
        <f t="shared" si="128"/>
        <v>0</v>
      </c>
    </row>
    <row r="60" spans="1:83" ht="12.75" customHeight="1" outlineLevel="2">
      <c r="A60" s="71">
        <v>46198.916666666664</v>
      </c>
      <c r="B60" s="34" t="s">
        <v>107</v>
      </c>
      <c r="C60" s="35" t="s">
        <v>104</v>
      </c>
      <c r="D60" s="43">
        <v>2</v>
      </c>
      <c r="E60" s="44" t="s">
        <v>0</v>
      </c>
      <c r="F60" s="43">
        <v>1</v>
      </c>
      <c r="G60">
        <f t="shared" si="106"/>
        <v>2</v>
      </c>
      <c r="H60" s="78">
        <v>8</v>
      </c>
      <c r="I60" s="97">
        <f t="shared" si="107"/>
        <v>1</v>
      </c>
      <c r="J60" s="56">
        <v>1</v>
      </c>
      <c r="K60" s="56" t="s">
        <v>0</v>
      </c>
      <c r="L60" s="57">
        <v>2</v>
      </c>
      <c r="M60" s="13">
        <f t="shared" si="108"/>
        <v>0</v>
      </c>
      <c r="N60" s="97">
        <f t="shared" si="109"/>
        <v>1</v>
      </c>
      <c r="O60" s="56">
        <v>1</v>
      </c>
      <c r="P60" s="56" t="s">
        <v>0</v>
      </c>
      <c r="Q60" s="57">
        <v>3</v>
      </c>
      <c r="R60" s="13">
        <f t="shared" si="110"/>
        <v>0</v>
      </c>
      <c r="S60" s="97">
        <f t="shared" si="111"/>
        <v>1</v>
      </c>
      <c r="T60" s="56">
        <v>0</v>
      </c>
      <c r="U60" s="56" t="s">
        <v>0</v>
      </c>
      <c r="V60" s="57">
        <v>4</v>
      </c>
      <c r="W60" s="13">
        <f t="shared" si="112"/>
        <v>0</v>
      </c>
      <c r="X60" s="97">
        <f t="shared" si="113"/>
        <v>1</v>
      </c>
      <c r="Y60" s="74">
        <v>0</v>
      </c>
      <c r="Z60" s="56" t="s">
        <v>0</v>
      </c>
      <c r="AA60" s="76">
        <v>3</v>
      </c>
      <c r="AB60" s="13">
        <f t="shared" si="114"/>
        <v>0</v>
      </c>
      <c r="AC60" s="97">
        <f t="shared" si="115"/>
        <v>1</v>
      </c>
      <c r="AD60" s="56">
        <v>1</v>
      </c>
      <c r="AE60" s="56" t="s">
        <v>0</v>
      </c>
      <c r="AF60" s="57">
        <v>2</v>
      </c>
      <c r="AG60" s="13">
        <f t="shared" si="116"/>
        <v>0</v>
      </c>
      <c r="AH60" s="97">
        <f t="shared" si="117"/>
        <v>1</v>
      </c>
      <c r="AI60" s="56">
        <v>1</v>
      </c>
      <c r="AJ60" s="56" t="s">
        <v>0</v>
      </c>
      <c r="AK60" s="57">
        <v>3</v>
      </c>
      <c r="AL60" s="13">
        <f t="shared" si="118"/>
        <v>0</v>
      </c>
      <c r="AM60" s="97">
        <f t="shared" si="119"/>
        <v>1</v>
      </c>
      <c r="AN60" s="56">
        <v>1</v>
      </c>
      <c r="AO60" s="56" t="s">
        <v>0</v>
      </c>
      <c r="AP60" s="57">
        <v>5</v>
      </c>
      <c r="AQ60" s="13">
        <f t="shared" si="120"/>
        <v>0</v>
      </c>
      <c r="AR60" s="97">
        <f t="shared" si="121"/>
        <v>1</v>
      </c>
      <c r="AS60" s="56">
        <v>1</v>
      </c>
      <c r="AT60" s="56" t="s">
        <v>0</v>
      </c>
      <c r="AU60" s="57">
        <v>2</v>
      </c>
      <c r="AV60" s="13">
        <f t="shared" si="122"/>
        <v>0</v>
      </c>
      <c r="AW60" s="97">
        <f t="shared" si="123"/>
        <v>1</v>
      </c>
      <c r="AX60" s="56">
        <v>0</v>
      </c>
      <c r="AY60" s="56" t="s">
        <v>0</v>
      </c>
      <c r="AZ60" s="57">
        <v>1</v>
      </c>
      <c r="BA60" s="13">
        <f t="shared" si="103"/>
        <v>0</v>
      </c>
      <c r="BB60" s="97">
        <f t="shared" si="124"/>
        <v>1</v>
      </c>
      <c r="BC60" s="56">
        <v>0</v>
      </c>
      <c r="BD60" s="56" t="s">
        <v>0</v>
      </c>
      <c r="BE60" s="57">
        <v>2</v>
      </c>
      <c r="BF60" s="13">
        <f t="shared" si="105"/>
        <v>0</v>
      </c>
      <c r="BG60" s="97">
        <f t="shared" si="13"/>
        <v>1</v>
      </c>
      <c r="BH60" s="64">
        <v>1</v>
      </c>
      <c r="BI60" s="64" t="s">
        <v>0</v>
      </c>
      <c r="BJ60" s="65">
        <v>3</v>
      </c>
      <c r="BK60" s="13">
        <f t="shared" si="125"/>
        <v>0</v>
      </c>
      <c r="BL60" s="97">
        <f t="shared" si="14"/>
        <v>1</v>
      </c>
      <c r="BM60" s="56">
        <v>0</v>
      </c>
      <c r="BN60" s="56" t="s">
        <v>0</v>
      </c>
      <c r="BO60" s="57">
        <v>2</v>
      </c>
      <c r="BP60" s="13">
        <f t="shared" si="126"/>
        <v>0</v>
      </c>
      <c r="BQ60" s="97">
        <f t="shared" si="15"/>
        <v>3</v>
      </c>
      <c r="BR60" s="56"/>
      <c r="BS60" s="56"/>
      <c r="BT60" s="57"/>
      <c r="BU60" s="13">
        <f t="shared" si="127"/>
        <v>0</v>
      </c>
      <c r="BV60" s="97">
        <f t="shared" si="16"/>
        <v>3</v>
      </c>
      <c r="BW60" s="56"/>
      <c r="BX60" s="56"/>
      <c r="BY60" s="57"/>
      <c r="BZ60" s="13"/>
      <c r="CA60" s="97">
        <f t="shared" si="17"/>
        <v>3</v>
      </c>
      <c r="CB60" s="25"/>
      <c r="CC60" s="12" t="s">
        <v>0</v>
      </c>
      <c r="CD60" s="26"/>
      <c r="CE60" s="13">
        <f t="shared" si="128"/>
        <v>0</v>
      </c>
    </row>
    <row r="61" spans="1:83" ht="12.75" customHeight="1" outlineLevel="2">
      <c r="A61" s="71">
        <v>46199.125</v>
      </c>
      <c r="B61" s="34" t="s">
        <v>89</v>
      </c>
      <c r="C61" s="35" t="s">
        <v>99</v>
      </c>
      <c r="D61" s="43">
        <v>3</v>
      </c>
      <c r="E61" s="44" t="s">
        <v>0</v>
      </c>
      <c r="F61" s="43">
        <v>2</v>
      </c>
      <c r="G61">
        <f t="shared" si="106"/>
        <v>2</v>
      </c>
      <c r="H61" s="78">
        <v>9</v>
      </c>
      <c r="I61" s="97">
        <f t="shared" si="107"/>
        <v>2</v>
      </c>
      <c r="J61" s="56">
        <v>2</v>
      </c>
      <c r="K61" s="56" t="s">
        <v>0</v>
      </c>
      <c r="L61" s="57">
        <v>1</v>
      </c>
      <c r="M61" s="13">
        <f t="shared" si="108"/>
        <v>1</v>
      </c>
      <c r="N61" s="97">
        <f t="shared" si="109"/>
        <v>2</v>
      </c>
      <c r="O61" s="56">
        <v>2</v>
      </c>
      <c r="P61" s="56" t="s">
        <v>0</v>
      </c>
      <c r="Q61" s="57">
        <v>1</v>
      </c>
      <c r="R61" s="13">
        <f t="shared" si="110"/>
        <v>1</v>
      </c>
      <c r="S61" s="97">
        <f t="shared" si="111"/>
        <v>1</v>
      </c>
      <c r="T61" s="56">
        <v>2</v>
      </c>
      <c r="U61" s="56" t="s">
        <v>0</v>
      </c>
      <c r="V61" s="57">
        <v>3</v>
      </c>
      <c r="W61" s="13">
        <f t="shared" si="112"/>
        <v>0</v>
      </c>
      <c r="X61" s="97">
        <f t="shared" si="113"/>
        <v>2</v>
      </c>
      <c r="Y61" s="74">
        <v>1</v>
      </c>
      <c r="Z61" s="56" t="s">
        <v>0</v>
      </c>
      <c r="AA61" s="76">
        <v>0</v>
      </c>
      <c r="AB61" s="13">
        <f t="shared" si="114"/>
        <v>1</v>
      </c>
      <c r="AC61" s="97">
        <f t="shared" si="115"/>
        <v>3</v>
      </c>
      <c r="AD61" s="56">
        <v>0</v>
      </c>
      <c r="AE61" s="56" t="s">
        <v>0</v>
      </c>
      <c r="AF61" s="57">
        <v>0</v>
      </c>
      <c r="AG61" s="13">
        <f t="shared" si="116"/>
        <v>0</v>
      </c>
      <c r="AH61" s="97">
        <f t="shared" si="117"/>
        <v>3</v>
      </c>
      <c r="AI61" s="56">
        <v>1</v>
      </c>
      <c r="AJ61" s="56" t="s">
        <v>0</v>
      </c>
      <c r="AK61" s="57">
        <v>1</v>
      </c>
      <c r="AL61" s="13">
        <f t="shared" si="118"/>
        <v>0</v>
      </c>
      <c r="AM61" s="97">
        <f t="shared" si="119"/>
        <v>2</v>
      </c>
      <c r="AN61" s="56">
        <v>3</v>
      </c>
      <c r="AO61" s="56" t="s">
        <v>0</v>
      </c>
      <c r="AP61" s="57">
        <v>2</v>
      </c>
      <c r="AQ61" s="13">
        <f t="shared" si="120"/>
        <v>3</v>
      </c>
      <c r="AR61" s="97">
        <f t="shared" si="121"/>
        <v>1</v>
      </c>
      <c r="AS61" s="56">
        <v>2</v>
      </c>
      <c r="AT61" s="56" t="s">
        <v>0</v>
      </c>
      <c r="AU61" s="57">
        <v>3</v>
      </c>
      <c r="AV61" s="13">
        <f t="shared" si="122"/>
        <v>0</v>
      </c>
      <c r="AW61" s="97">
        <f t="shared" si="123"/>
        <v>1</v>
      </c>
      <c r="AX61" s="56">
        <v>1</v>
      </c>
      <c r="AY61" s="56" t="s">
        <v>0</v>
      </c>
      <c r="AZ61" s="57">
        <v>2</v>
      </c>
      <c r="BA61" s="13">
        <f t="shared" si="103"/>
        <v>0</v>
      </c>
      <c r="BB61" s="97">
        <f t="shared" si="124"/>
        <v>3</v>
      </c>
      <c r="BC61" s="56">
        <v>2</v>
      </c>
      <c r="BD61" s="56" t="s">
        <v>0</v>
      </c>
      <c r="BE61" s="57">
        <v>2</v>
      </c>
      <c r="BF61" s="13">
        <f t="shared" si="105"/>
        <v>0</v>
      </c>
      <c r="BG61" s="97">
        <f t="shared" si="13"/>
        <v>2</v>
      </c>
      <c r="BH61" s="64">
        <v>2</v>
      </c>
      <c r="BI61" s="64" t="s">
        <v>0</v>
      </c>
      <c r="BJ61" s="65">
        <v>1</v>
      </c>
      <c r="BK61" s="13">
        <f t="shared" si="125"/>
        <v>1</v>
      </c>
      <c r="BL61" s="97">
        <f t="shared" si="14"/>
        <v>2</v>
      </c>
      <c r="BM61" s="56">
        <v>1</v>
      </c>
      <c r="BN61" s="56" t="s">
        <v>0</v>
      </c>
      <c r="BO61" s="57">
        <v>0</v>
      </c>
      <c r="BP61" s="13">
        <f t="shared" si="126"/>
        <v>1</v>
      </c>
      <c r="BQ61" s="97">
        <f t="shared" si="15"/>
        <v>3</v>
      </c>
      <c r="BR61" s="56"/>
      <c r="BS61" s="56"/>
      <c r="BT61" s="57"/>
      <c r="BU61" s="13">
        <f t="shared" si="127"/>
        <v>0</v>
      </c>
      <c r="BV61" s="97">
        <f t="shared" si="16"/>
        <v>3</v>
      </c>
      <c r="BW61" s="56"/>
      <c r="BX61" s="56"/>
      <c r="BY61" s="57"/>
      <c r="BZ61" s="13"/>
      <c r="CA61" s="97">
        <f t="shared" si="17"/>
        <v>3</v>
      </c>
      <c r="CB61" s="25"/>
      <c r="CC61" s="12" t="s">
        <v>0</v>
      </c>
      <c r="CD61" s="26"/>
      <c r="CE61" s="13">
        <f t="shared" si="128"/>
        <v>0</v>
      </c>
    </row>
    <row r="62" spans="1:83" ht="12.75" customHeight="1" outlineLevel="2">
      <c r="A62" s="71">
        <v>46199.125</v>
      </c>
      <c r="B62" s="34" t="s">
        <v>100</v>
      </c>
      <c r="C62" s="35" t="s">
        <v>79</v>
      </c>
      <c r="D62" s="43">
        <v>0</v>
      </c>
      <c r="E62" s="44" t="s">
        <v>0</v>
      </c>
      <c r="F62" s="43">
        <v>0</v>
      </c>
      <c r="G62">
        <f t="shared" si="106"/>
        <v>3</v>
      </c>
      <c r="H62" s="78">
        <v>10</v>
      </c>
      <c r="I62" s="97">
        <f t="shared" si="107"/>
        <v>1</v>
      </c>
      <c r="J62" s="56">
        <v>0</v>
      </c>
      <c r="K62" s="56" t="s">
        <v>0</v>
      </c>
      <c r="L62" s="57">
        <v>1</v>
      </c>
      <c r="M62" s="13">
        <f t="shared" si="108"/>
        <v>0</v>
      </c>
      <c r="N62" s="97">
        <f t="shared" si="109"/>
        <v>2</v>
      </c>
      <c r="O62" s="56">
        <v>2</v>
      </c>
      <c r="P62" s="56" t="s">
        <v>0</v>
      </c>
      <c r="Q62" s="57">
        <v>0</v>
      </c>
      <c r="R62" s="13">
        <f t="shared" si="110"/>
        <v>0</v>
      </c>
      <c r="S62" s="97">
        <f t="shared" si="111"/>
        <v>1</v>
      </c>
      <c r="T62" s="56">
        <v>2</v>
      </c>
      <c r="U62" s="56" t="s">
        <v>0</v>
      </c>
      <c r="V62" s="57">
        <v>3</v>
      </c>
      <c r="W62" s="13">
        <f t="shared" si="112"/>
        <v>0</v>
      </c>
      <c r="X62" s="97">
        <f t="shared" si="113"/>
        <v>3</v>
      </c>
      <c r="Y62" s="74">
        <v>1</v>
      </c>
      <c r="Z62" s="56" t="s">
        <v>0</v>
      </c>
      <c r="AA62" s="76">
        <v>1</v>
      </c>
      <c r="AB62" s="13">
        <f t="shared" si="114"/>
        <v>1</v>
      </c>
      <c r="AC62" s="97">
        <f t="shared" si="115"/>
        <v>3</v>
      </c>
      <c r="AD62" s="56">
        <v>1</v>
      </c>
      <c r="AE62" s="56" t="s">
        <v>0</v>
      </c>
      <c r="AF62" s="57">
        <v>1</v>
      </c>
      <c r="AG62" s="13">
        <f t="shared" si="116"/>
        <v>1</v>
      </c>
      <c r="AH62" s="97">
        <f t="shared" si="117"/>
        <v>1</v>
      </c>
      <c r="AI62" s="56">
        <v>1</v>
      </c>
      <c r="AJ62" s="56" t="s">
        <v>0</v>
      </c>
      <c r="AK62" s="57">
        <v>2</v>
      </c>
      <c r="AL62" s="13">
        <f t="shared" si="118"/>
        <v>0</v>
      </c>
      <c r="AM62" s="97">
        <f t="shared" si="119"/>
        <v>3</v>
      </c>
      <c r="AN62" s="56">
        <v>1</v>
      </c>
      <c r="AO62" s="56" t="s">
        <v>0</v>
      </c>
      <c r="AP62" s="57">
        <v>1</v>
      </c>
      <c r="AQ62" s="13">
        <f t="shared" si="120"/>
        <v>1</v>
      </c>
      <c r="AR62" s="97">
        <f t="shared" si="121"/>
        <v>3</v>
      </c>
      <c r="AS62" s="56">
        <v>1</v>
      </c>
      <c r="AT62" s="56" t="s">
        <v>0</v>
      </c>
      <c r="AU62" s="57">
        <v>1</v>
      </c>
      <c r="AV62" s="13">
        <f t="shared" si="122"/>
        <v>1</v>
      </c>
      <c r="AW62" s="97">
        <f t="shared" si="123"/>
        <v>2</v>
      </c>
      <c r="AX62" s="56">
        <v>2</v>
      </c>
      <c r="AY62" s="56" t="s">
        <v>0</v>
      </c>
      <c r="AZ62" s="57">
        <v>0</v>
      </c>
      <c r="BA62" s="13">
        <f t="shared" si="103"/>
        <v>0</v>
      </c>
      <c r="BB62" s="97">
        <f t="shared" si="124"/>
        <v>1</v>
      </c>
      <c r="BC62" s="56">
        <v>0</v>
      </c>
      <c r="BD62" s="56" t="s">
        <v>0</v>
      </c>
      <c r="BE62" s="57">
        <v>1</v>
      </c>
      <c r="BF62" s="13">
        <f t="shared" si="105"/>
        <v>0</v>
      </c>
      <c r="BG62" s="97">
        <f t="shared" si="13"/>
        <v>3</v>
      </c>
      <c r="BH62" s="64">
        <v>1</v>
      </c>
      <c r="BI62" s="64" t="s">
        <v>0</v>
      </c>
      <c r="BJ62" s="65">
        <v>1</v>
      </c>
      <c r="BK62" s="13">
        <f t="shared" si="125"/>
        <v>1</v>
      </c>
      <c r="BL62" s="97">
        <f t="shared" si="14"/>
        <v>2</v>
      </c>
      <c r="BM62" s="56">
        <v>1</v>
      </c>
      <c r="BN62" s="56" t="s">
        <v>0</v>
      </c>
      <c r="BO62" s="57">
        <v>0</v>
      </c>
      <c r="BP62" s="13">
        <f t="shared" si="126"/>
        <v>0</v>
      </c>
      <c r="BQ62" s="97">
        <f t="shared" si="15"/>
        <v>3</v>
      </c>
      <c r="BR62" s="56"/>
      <c r="BS62" s="56"/>
      <c r="BT62" s="57"/>
      <c r="BU62" s="13">
        <f t="shared" si="127"/>
        <v>0</v>
      </c>
      <c r="BV62" s="97">
        <f t="shared" si="16"/>
        <v>3</v>
      </c>
      <c r="BW62" s="56"/>
      <c r="BX62" s="56"/>
      <c r="BY62" s="57"/>
      <c r="BZ62" s="13"/>
      <c r="CA62" s="97">
        <f t="shared" si="17"/>
        <v>3</v>
      </c>
      <c r="CB62" s="25"/>
      <c r="CC62" s="12" t="s">
        <v>0</v>
      </c>
      <c r="CD62" s="26"/>
      <c r="CE62" s="13">
        <f t="shared" si="128"/>
        <v>0</v>
      </c>
    </row>
    <row r="63" spans="1:83" ht="12.75" customHeight="1" outlineLevel="2">
      <c r="A63" s="71">
        <v>46199.791666666664</v>
      </c>
      <c r="B63" s="34" t="s">
        <v>105</v>
      </c>
      <c r="C63" s="35" t="s">
        <v>108</v>
      </c>
      <c r="D63" s="43">
        <v>1</v>
      </c>
      <c r="E63" s="44" t="s">
        <v>0</v>
      </c>
      <c r="F63" s="43">
        <v>1</v>
      </c>
      <c r="G63">
        <f t="shared" si="106"/>
        <v>3</v>
      </c>
      <c r="H63" s="78">
        <v>11</v>
      </c>
      <c r="I63" s="97">
        <f t="shared" si="107"/>
        <v>1</v>
      </c>
      <c r="J63" s="56">
        <v>1</v>
      </c>
      <c r="K63" s="56" t="s">
        <v>0</v>
      </c>
      <c r="L63" s="57">
        <v>2</v>
      </c>
      <c r="M63" s="13">
        <f t="shared" si="108"/>
        <v>0</v>
      </c>
      <c r="N63" s="97">
        <f t="shared" si="109"/>
        <v>1</v>
      </c>
      <c r="O63" s="56">
        <v>1</v>
      </c>
      <c r="P63" s="56" t="s">
        <v>0</v>
      </c>
      <c r="Q63" s="57">
        <v>2</v>
      </c>
      <c r="R63" s="13">
        <f t="shared" si="110"/>
        <v>0</v>
      </c>
      <c r="S63" s="97">
        <f t="shared" si="111"/>
        <v>2</v>
      </c>
      <c r="T63" s="56">
        <v>2</v>
      </c>
      <c r="U63" s="56" t="s">
        <v>0</v>
      </c>
      <c r="V63" s="57">
        <v>1</v>
      </c>
      <c r="W63" s="13">
        <f t="shared" si="112"/>
        <v>0</v>
      </c>
      <c r="X63" s="97">
        <f t="shared" si="113"/>
        <v>2</v>
      </c>
      <c r="Y63" s="74">
        <v>2</v>
      </c>
      <c r="Z63" s="56" t="s">
        <v>0</v>
      </c>
      <c r="AA63" s="76">
        <v>0</v>
      </c>
      <c r="AB63" s="13">
        <f t="shared" si="114"/>
        <v>0</v>
      </c>
      <c r="AC63" s="97">
        <f t="shared" si="115"/>
        <v>2</v>
      </c>
      <c r="AD63" s="56">
        <v>2</v>
      </c>
      <c r="AE63" s="56" t="s">
        <v>0</v>
      </c>
      <c r="AF63" s="57">
        <v>1</v>
      </c>
      <c r="AG63" s="13">
        <f t="shared" si="116"/>
        <v>0</v>
      </c>
      <c r="AH63" s="97">
        <f t="shared" si="117"/>
        <v>1</v>
      </c>
      <c r="AI63" s="56">
        <v>0</v>
      </c>
      <c r="AJ63" s="56" t="s">
        <v>0</v>
      </c>
      <c r="AK63" s="57">
        <v>2</v>
      </c>
      <c r="AL63" s="13">
        <f t="shared" si="118"/>
        <v>0</v>
      </c>
      <c r="AM63" s="97">
        <f t="shared" si="119"/>
        <v>1</v>
      </c>
      <c r="AN63" s="56">
        <v>1</v>
      </c>
      <c r="AO63" s="56" t="s">
        <v>0</v>
      </c>
      <c r="AP63" s="57">
        <v>4</v>
      </c>
      <c r="AQ63" s="13">
        <f t="shared" si="120"/>
        <v>0</v>
      </c>
      <c r="AR63" s="97">
        <f t="shared" si="121"/>
        <v>2</v>
      </c>
      <c r="AS63" s="56">
        <v>1</v>
      </c>
      <c r="AT63" s="56" t="s">
        <v>0</v>
      </c>
      <c r="AU63" s="57">
        <v>0</v>
      </c>
      <c r="AV63" s="13">
        <f t="shared" si="122"/>
        <v>0</v>
      </c>
      <c r="AW63" s="97">
        <f t="shared" si="123"/>
        <v>2</v>
      </c>
      <c r="AX63" s="56">
        <v>2</v>
      </c>
      <c r="AY63" s="56" t="s">
        <v>0</v>
      </c>
      <c r="AZ63" s="57">
        <v>0</v>
      </c>
      <c r="BA63" s="13">
        <f t="shared" si="103"/>
        <v>0</v>
      </c>
      <c r="BB63" s="97">
        <f t="shared" si="124"/>
        <v>3</v>
      </c>
      <c r="BC63" s="56">
        <v>1</v>
      </c>
      <c r="BD63" s="56" t="s">
        <v>0</v>
      </c>
      <c r="BE63" s="57">
        <v>1</v>
      </c>
      <c r="BF63" s="13">
        <f t="shared" si="105"/>
        <v>3</v>
      </c>
      <c r="BG63" s="97">
        <f t="shared" si="13"/>
        <v>1</v>
      </c>
      <c r="BH63" s="64">
        <v>0</v>
      </c>
      <c r="BI63" s="64" t="s">
        <v>0</v>
      </c>
      <c r="BJ63" s="65">
        <v>1</v>
      </c>
      <c r="BK63" s="13">
        <f t="shared" si="125"/>
        <v>0</v>
      </c>
      <c r="BL63" s="97">
        <f t="shared" si="14"/>
        <v>1</v>
      </c>
      <c r="BM63" s="56">
        <v>0</v>
      </c>
      <c r="BN63" s="56" t="s">
        <v>0</v>
      </c>
      <c r="BO63" s="57">
        <v>1</v>
      </c>
      <c r="BP63" s="13">
        <f t="shared" si="126"/>
        <v>0</v>
      </c>
      <c r="BQ63" s="97">
        <f t="shared" si="15"/>
        <v>3</v>
      </c>
      <c r="BR63" s="56"/>
      <c r="BS63" s="56"/>
      <c r="BT63" s="57"/>
      <c r="BU63" s="13">
        <f t="shared" si="127"/>
        <v>0</v>
      </c>
      <c r="BV63" s="97">
        <f t="shared" si="16"/>
        <v>3</v>
      </c>
      <c r="BW63" s="56"/>
      <c r="BX63" s="56"/>
      <c r="BY63" s="57"/>
      <c r="BZ63" s="13"/>
      <c r="CA63" s="97">
        <f t="shared" si="17"/>
        <v>3</v>
      </c>
      <c r="CB63" s="25"/>
      <c r="CC63" s="12" t="s">
        <v>0</v>
      </c>
      <c r="CD63" s="26"/>
      <c r="CE63" s="13">
        <f t="shared" si="128"/>
        <v>0</v>
      </c>
    </row>
    <row r="64" spans="1:83" ht="12.75" customHeight="1" outlineLevel="2">
      <c r="A64" s="71">
        <v>46199.791666666664</v>
      </c>
      <c r="B64" s="34" t="s">
        <v>109</v>
      </c>
      <c r="C64" s="35" t="s">
        <v>90</v>
      </c>
      <c r="D64" s="43">
        <v>1</v>
      </c>
      <c r="E64" s="44" t="s">
        <v>0</v>
      </c>
      <c r="F64" s="43">
        <v>3</v>
      </c>
      <c r="G64">
        <f t="shared" si="106"/>
        <v>1</v>
      </c>
      <c r="H64" s="78">
        <v>12</v>
      </c>
      <c r="I64" s="97">
        <f t="shared" si="107"/>
        <v>1</v>
      </c>
      <c r="J64" s="56">
        <v>0</v>
      </c>
      <c r="K64" s="56" t="s">
        <v>0</v>
      </c>
      <c r="L64" s="57">
        <v>2</v>
      </c>
      <c r="M64" s="13">
        <f t="shared" si="108"/>
        <v>1</v>
      </c>
      <c r="N64" s="97">
        <f t="shared" si="109"/>
        <v>1</v>
      </c>
      <c r="O64" s="56">
        <v>0</v>
      </c>
      <c r="P64" s="56" t="s">
        <v>0</v>
      </c>
      <c r="Q64" s="57">
        <v>1</v>
      </c>
      <c r="R64" s="13">
        <f t="shared" si="110"/>
        <v>1</v>
      </c>
      <c r="S64" s="97">
        <f t="shared" si="111"/>
        <v>1</v>
      </c>
      <c r="T64" s="56">
        <v>0</v>
      </c>
      <c r="U64" s="56" t="s">
        <v>0</v>
      </c>
      <c r="V64" s="57">
        <v>2</v>
      </c>
      <c r="W64" s="13">
        <f t="shared" si="112"/>
        <v>1</v>
      </c>
      <c r="X64" s="97">
        <f t="shared" si="113"/>
        <v>1</v>
      </c>
      <c r="Y64" s="74">
        <v>0</v>
      </c>
      <c r="Z64" s="56" t="s">
        <v>0</v>
      </c>
      <c r="AA64" s="76">
        <v>2</v>
      </c>
      <c r="AB64" s="13">
        <f t="shared" si="114"/>
        <v>1</v>
      </c>
      <c r="AC64" s="97">
        <f t="shared" si="115"/>
        <v>1</v>
      </c>
      <c r="AD64" s="56">
        <v>1</v>
      </c>
      <c r="AE64" s="56" t="s">
        <v>0</v>
      </c>
      <c r="AF64" s="57">
        <v>2</v>
      </c>
      <c r="AG64" s="13">
        <f t="shared" si="116"/>
        <v>1</v>
      </c>
      <c r="AH64" s="97">
        <f t="shared" si="117"/>
        <v>1</v>
      </c>
      <c r="AI64" s="56">
        <v>1</v>
      </c>
      <c r="AJ64" s="56" t="s">
        <v>0</v>
      </c>
      <c r="AK64" s="57">
        <v>3</v>
      </c>
      <c r="AL64" s="13">
        <f t="shared" si="118"/>
        <v>3</v>
      </c>
      <c r="AM64" s="97">
        <f t="shared" si="119"/>
        <v>1</v>
      </c>
      <c r="AN64" s="56">
        <v>2</v>
      </c>
      <c r="AO64" s="56" t="s">
        <v>0</v>
      </c>
      <c r="AP64" s="57">
        <v>3</v>
      </c>
      <c r="AQ64" s="13">
        <f t="shared" si="120"/>
        <v>1</v>
      </c>
      <c r="AR64" s="97">
        <f t="shared" si="121"/>
        <v>1</v>
      </c>
      <c r="AS64" s="56">
        <v>0</v>
      </c>
      <c r="AT64" s="56" t="s">
        <v>0</v>
      </c>
      <c r="AU64" s="57">
        <v>2</v>
      </c>
      <c r="AV64" s="13">
        <f t="shared" si="122"/>
        <v>1</v>
      </c>
      <c r="AW64" s="97">
        <f t="shared" si="123"/>
        <v>1</v>
      </c>
      <c r="AX64" s="56">
        <v>0</v>
      </c>
      <c r="AY64" s="56" t="s">
        <v>0</v>
      </c>
      <c r="AZ64" s="57">
        <v>2</v>
      </c>
      <c r="BA64" s="13">
        <f t="shared" si="103"/>
        <v>1</v>
      </c>
      <c r="BB64" s="97">
        <f t="shared" si="124"/>
        <v>1</v>
      </c>
      <c r="BC64" s="56">
        <v>0</v>
      </c>
      <c r="BD64" s="56" t="s">
        <v>0</v>
      </c>
      <c r="BE64" s="57">
        <v>2</v>
      </c>
      <c r="BF64" s="13">
        <f t="shared" si="105"/>
        <v>1</v>
      </c>
      <c r="BG64" s="97">
        <f t="shared" si="13"/>
        <v>1</v>
      </c>
      <c r="BH64" s="64">
        <v>1</v>
      </c>
      <c r="BI64" s="64" t="s">
        <v>0</v>
      </c>
      <c r="BJ64" s="65">
        <v>3</v>
      </c>
      <c r="BK64" s="13">
        <f t="shared" si="125"/>
        <v>3</v>
      </c>
      <c r="BL64" s="97">
        <f t="shared" si="14"/>
        <v>1</v>
      </c>
      <c r="BM64" s="56">
        <v>0</v>
      </c>
      <c r="BN64" s="56" t="s">
        <v>0</v>
      </c>
      <c r="BO64" s="57">
        <v>2</v>
      </c>
      <c r="BP64" s="13">
        <f t="shared" si="126"/>
        <v>1</v>
      </c>
      <c r="BQ64" s="97">
        <f t="shared" si="15"/>
        <v>3</v>
      </c>
      <c r="BR64" s="56"/>
      <c r="BS64" s="56"/>
      <c r="BT64" s="57"/>
      <c r="BU64" s="13">
        <f t="shared" si="127"/>
        <v>0</v>
      </c>
      <c r="BV64" s="97">
        <f t="shared" si="16"/>
        <v>3</v>
      </c>
      <c r="BW64" s="56"/>
      <c r="BX64" s="56"/>
      <c r="BY64" s="57"/>
      <c r="BZ64" s="13"/>
      <c r="CA64" s="97">
        <f t="shared" si="17"/>
        <v>3</v>
      </c>
      <c r="CB64" s="25"/>
      <c r="CC64" s="12" t="s">
        <v>0</v>
      </c>
      <c r="CD64" s="26"/>
      <c r="CE64" s="13">
        <f t="shared" si="128"/>
        <v>0</v>
      </c>
    </row>
    <row r="65" spans="1:83" ht="12.75" customHeight="1" outlineLevel="2">
      <c r="A65" s="71">
        <v>46199.958333333336</v>
      </c>
      <c r="B65" s="34" t="s">
        <v>118</v>
      </c>
      <c r="C65" s="35" t="s">
        <v>116</v>
      </c>
      <c r="D65" s="43">
        <v>1</v>
      </c>
      <c r="E65" s="44" t="s">
        <v>0</v>
      </c>
      <c r="F65" s="43">
        <v>4</v>
      </c>
      <c r="G65">
        <f t="shared" si="106"/>
        <v>1</v>
      </c>
      <c r="H65" s="78">
        <v>13</v>
      </c>
      <c r="I65" s="97">
        <f t="shared" si="107"/>
        <v>1</v>
      </c>
      <c r="J65" s="56">
        <v>1</v>
      </c>
      <c r="K65" s="56" t="s">
        <v>0</v>
      </c>
      <c r="L65" s="57">
        <v>3</v>
      </c>
      <c r="M65" s="13">
        <f t="shared" si="108"/>
        <v>1</v>
      </c>
      <c r="N65" s="97">
        <f t="shared" si="109"/>
        <v>3</v>
      </c>
      <c r="O65" s="56">
        <v>2</v>
      </c>
      <c r="P65" s="56" t="s">
        <v>0</v>
      </c>
      <c r="Q65" s="57">
        <v>2</v>
      </c>
      <c r="R65" s="13">
        <f t="shared" si="110"/>
        <v>0</v>
      </c>
      <c r="S65" s="97">
        <f t="shared" si="111"/>
        <v>2</v>
      </c>
      <c r="T65" s="56">
        <v>3</v>
      </c>
      <c r="U65" s="56" t="s">
        <v>0</v>
      </c>
      <c r="V65" s="57">
        <v>1</v>
      </c>
      <c r="W65" s="13">
        <f t="shared" si="112"/>
        <v>0</v>
      </c>
      <c r="X65" s="97">
        <f t="shared" si="113"/>
        <v>1</v>
      </c>
      <c r="Y65" s="74">
        <v>0</v>
      </c>
      <c r="Z65" s="56" t="s">
        <v>0</v>
      </c>
      <c r="AA65" s="76">
        <v>3</v>
      </c>
      <c r="AB65" s="13">
        <f t="shared" si="114"/>
        <v>1</v>
      </c>
      <c r="AC65" s="97">
        <f t="shared" si="115"/>
        <v>3</v>
      </c>
      <c r="AD65" s="56">
        <v>1</v>
      </c>
      <c r="AE65" s="56" t="s">
        <v>0</v>
      </c>
      <c r="AF65" s="57">
        <v>1</v>
      </c>
      <c r="AG65" s="13">
        <f t="shared" si="116"/>
        <v>0</v>
      </c>
      <c r="AH65" s="97">
        <f t="shared" si="117"/>
        <v>2</v>
      </c>
      <c r="AI65" s="56">
        <v>3</v>
      </c>
      <c r="AJ65" s="56" t="s">
        <v>0</v>
      </c>
      <c r="AK65" s="57">
        <v>2</v>
      </c>
      <c r="AL65" s="13">
        <f t="shared" si="118"/>
        <v>0</v>
      </c>
      <c r="AM65" s="97">
        <f t="shared" si="119"/>
        <v>1</v>
      </c>
      <c r="AN65" s="56">
        <v>2</v>
      </c>
      <c r="AO65" s="56" t="s">
        <v>0</v>
      </c>
      <c r="AP65" s="57">
        <v>3</v>
      </c>
      <c r="AQ65" s="13">
        <f t="shared" si="120"/>
        <v>1</v>
      </c>
      <c r="AR65" s="97">
        <f t="shared" si="121"/>
        <v>1</v>
      </c>
      <c r="AS65" s="56">
        <v>2</v>
      </c>
      <c r="AT65" s="56" t="s">
        <v>0</v>
      </c>
      <c r="AU65" s="57">
        <v>3</v>
      </c>
      <c r="AV65" s="13">
        <f t="shared" si="122"/>
        <v>1</v>
      </c>
      <c r="AW65" s="97">
        <f t="shared" si="123"/>
        <v>3</v>
      </c>
      <c r="AX65" s="56">
        <v>1</v>
      </c>
      <c r="AY65" s="56" t="s">
        <v>0</v>
      </c>
      <c r="AZ65" s="57">
        <v>1</v>
      </c>
      <c r="BA65" s="13">
        <f t="shared" si="103"/>
        <v>0</v>
      </c>
      <c r="BB65" s="97">
        <f t="shared" si="124"/>
        <v>1</v>
      </c>
      <c r="BC65" s="56">
        <v>1</v>
      </c>
      <c r="BD65" s="56" t="s">
        <v>0</v>
      </c>
      <c r="BE65" s="57">
        <v>2</v>
      </c>
      <c r="BF65" s="13">
        <f t="shared" si="105"/>
        <v>1</v>
      </c>
      <c r="BG65" s="97">
        <f t="shared" si="13"/>
        <v>1</v>
      </c>
      <c r="BH65" s="64">
        <v>1</v>
      </c>
      <c r="BI65" s="64" t="s">
        <v>0</v>
      </c>
      <c r="BJ65" s="65">
        <v>2</v>
      </c>
      <c r="BK65" s="13">
        <f t="shared" si="125"/>
        <v>1</v>
      </c>
      <c r="BL65" s="97">
        <f t="shared" si="14"/>
        <v>1</v>
      </c>
      <c r="BM65" s="56">
        <v>1</v>
      </c>
      <c r="BN65" s="56" t="s">
        <v>0</v>
      </c>
      <c r="BO65" s="57">
        <v>2</v>
      </c>
      <c r="BP65" s="13">
        <f t="shared" si="126"/>
        <v>1</v>
      </c>
      <c r="BQ65" s="97">
        <f t="shared" si="15"/>
        <v>3</v>
      </c>
      <c r="BR65" s="56"/>
      <c r="BS65" s="56"/>
      <c r="BT65" s="57"/>
      <c r="BU65" s="13">
        <f t="shared" si="127"/>
        <v>0</v>
      </c>
      <c r="BV65" s="97">
        <f t="shared" si="16"/>
        <v>3</v>
      </c>
      <c r="BW65" s="56"/>
      <c r="BX65" s="56"/>
      <c r="BY65" s="57"/>
      <c r="BZ65" s="13"/>
      <c r="CA65" s="97">
        <f t="shared" si="17"/>
        <v>3</v>
      </c>
      <c r="CB65" s="25"/>
      <c r="CC65" s="12" t="s">
        <v>0</v>
      </c>
      <c r="CD65" s="26"/>
      <c r="CE65" s="13">
        <f t="shared" si="128"/>
        <v>0</v>
      </c>
    </row>
    <row r="66" spans="1:83" ht="12.75" customHeight="1" outlineLevel="2">
      <c r="A66" s="71">
        <v>46199.958333333336</v>
      </c>
      <c r="B66" s="34" t="s">
        <v>85</v>
      </c>
      <c r="C66" s="35" t="s">
        <v>117</v>
      </c>
      <c r="D66" s="43">
        <v>5</v>
      </c>
      <c r="E66" s="44" t="s">
        <v>0</v>
      </c>
      <c r="F66" s="43">
        <v>0</v>
      </c>
      <c r="G66">
        <f t="shared" si="106"/>
        <v>2</v>
      </c>
      <c r="H66" s="78">
        <v>14</v>
      </c>
      <c r="I66" s="97">
        <f t="shared" si="107"/>
        <v>2</v>
      </c>
      <c r="J66" s="56">
        <v>1</v>
      </c>
      <c r="K66" s="56" t="s">
        <v>0</v>
      </c>
      <c r="L66" s="57">
        <v>0</v>
      </c>
      <c r="M66" s="13">
        <f t="shared" si="108"/>
        <v>1</v>
      </c>
      <c r="N66" s="97">
        <f t="shared" si="109"/>
        <v>2</v>
      </c>
      <c r="O66" s="56">
        <v>2</v>
      </c>
      <c r="P66" s="56" t="s">
        <v>0</v>
      </c>
      <c r="Q66" s="57">
        <v>0</v>
      </c>
      <c r="R66" s="13">
        <f t="shared" si="110"/>
        <v>1</v>
      </c>
      <c r="S66" s="97">
        <f t="shared" si="111"/>
        <v>2</v>
      </c>
      <c r="T66" s="56">
        <v>4</v>
      </c>
      <c r="U66" s="56" t="s">
        <v>0</v>
      </c>
      <c r="V66" s="57">
        <v>2</v>
      </c>
      <c r="W66" s="13">
        <f t="shared" si="112"/>
        <v>1</v>
      </c>
      <c r="X66" s="97">
        <f t="shared" si="113"/>
        <v>3</v>
      </c>
      <c r="Y66" s="74">
        <v>2</v>
      </c>
      <c r="Z66" s="56" t="s">
        <v>0</v>
      </c>
      <c r="AA66" s="76">
        <v>2</v>
      </c>
      <c r="AB66" s="13">
        <f t="shared" si="114"/>
        <v>0</v>
      </c>
      <c r="AC66" s="97">
        <f t="shared" si="115"/>
        <v>2</v>
      </c>
      <c r="AD66" s="56">
        <v>1</v>
      </c>
      <c r="AE66" s="56" t="s">
        <v>0</v>
      </c>
      <c r="AF66" s="57">
        <v>0</v>
      </c>
      <c r="AG66" s="13">
        <f t="shared" si="116"/>
        <v>1</v>
      </c>
      <c r="AH66" s="97">
        <f t="shared" si="117"/>
        <v>2</v>
      </c>
      <c r="AI66" s="56">
        <v>2</v>
      </c>
      <c r="AJ66" s="56" t="s">
        <v>0</v>
      </c>
      <c r="AK66" s="57">
        <v>0</v>
      </c>
      <c r="AL66" s="13">
        <f t="shared" si="118"/>
        <v>1</v>
      </c>
      <c r="AM66" s="97">
        <f t="shared" si="119"/>
        <v>2</v>
      </c>
      <c r="AN66" s="56">
        <v>1</v>
      </c>
      <c r="AO66" s="56" t="s">
        <v>0</v>
      </c>
      <c r="AP66" s="57">
        <v>0</v>
      </c>
      <c r="AQ66" s="13">
        <f t="shared" si="120"/>
        <v>1</v>
      </c>
      <c r="AR66" s="97">
        <f t="shared" si="121"/>
        <v>2</v>
      </c>
      <c r="AS66" s="56">
        <v>2</v>
      </c>
      <c r="AT66" s="56" t="s">
        <v>0</v>
      </c>
      <c r="AU66" s="57">
        <v>0</v>
      </c>
      <c r="AV66" s="13">
        <f t="shared" si="122"/>
        <v>1</v>
      </c>
      <c r="AW66" s="97">
        <f t="shared" si="123"/>
        <v>2</v>
      </c>
      <c r="AX66" s="56">
        <v>2</v>
      </c>
      <c r="AY66" s="56" t="s">
        <v>0</v>
      </c>
      <c r="AZ66" s="57">
        <v>0</v>
      </c>
      <c r="BA66" s="13">
        <f t="shared" si="103"/>
        <v>1</v>
      </c>
      <c r="BB66" s="97">
        <f t="shared" si="124"/>
        <v>2</v>
      </c>
      <c r="BC66" s="56">
        <v>2</v>
      </c>
      <c r="BD66" s="56" t="s">
        <v>0</v>
      </c>
      <c r="BE66" s="57">
        <v>0</v>
      </c>
      <c r="BF66" s="13">
        <f t="shared" si="105"/>
        <v>1</v>
      </c>
      <c r="BG66" s="97">
        <f t="shared" si="13"/>
        <v>2</v>
      </c>
      <c r="BH66" s="64">
        <v>2</v>
      </c>
      <c r="BI66" s="64" t="s">
        <v>0</v>
      </c>
      <c r="BJ66" s="65">
        <v>0</v>
      </c>
      <c r="BK66" s="13">
        <f t="shared" si="125"/>
        <v>1</v>
      </c>
      <c r="BL66" s="97">
        <f t="shared" si="14"/>
        <v>2</v>
      </c>
      <c r="BM66" s="56">
        <v>2</v>
      </c>
      <c r="BN66" s="56" t="s">
        <v>0</v>
      </c>
      <c r="BO66" s="57">
        <v>0</v>
      </c>
      <c r="BP66" s="13">
        <f t="shared" si="126"/>
        <v>1</v>
      </c>
      <c r="BQ66" s="97">
        <f t="shared" si="15"/>
        <v>3</v>
      </c>
      <c r="BR66" s="56"/>
      <c r="BS66" s="56"/>
      <c r="BT66" s="57"/>
      <c r="BU66" s="13">
        <f t="shared" si="127"/>
        <v>0</v>
      </c>
      <c r="BV66" s="97">
        <f t="shared" si="16"/>
        <v>3</v>
      </c>
      <c r="BW66" s="56"/>
      <c r="BX66" s="56"/>
      <c r="BY66" s="57"/>
      <c r="BZ66" s="13"/>
      <c r="CA66" s="97">
        <f t="shared" si="17"/>
        <v>3</v>
      </c>
      <c r="CB66" s="25"/>
      <c r="CC66" s="12" t="s">
        <v>0</v>
      </c>
      <c r="CD66" s="26"/>
      <c r="CE66" s="13">
        <f t="shared" si="128"/>
        <v>0</v>
      </c>
    </row>
    <row r="67" spans="1:83" ht="12.75" customHeight="1" outlineLevel="2">
      <c r="A67" s="71">
        <v>46200.875</v>
      </c>
      <c r="B67" s="34" t="s">
        <v>112</v>
      </c>
      <c r="C67" s="35" t="s">
        <v>80</v>
      </c>
      <c r="D67" s="43">
        <v>1</v>
      </c>
      <c r="E67" s="44" t="s">
        <v>0</v>
      </c>
      <c r="F67" s="43">
        <v>1</v>
      </c>
      <c r="G67">
        <f t="shared" si="106"/>
        <v>3</v>
      </c>
      <c r="H67" s="78">
        <v>15</v>
      </c>
      <c r="I67" s="97">
        <f t="shared" si="107"/>
        <v>1</v>
      </c>
      <c r="J67" s="56">
        <v>1</v>
      </c>
      <c r="K67" s="56" t="s">
        <v>0</v>
      </c>
      <c r="L67" s="57">
        <v>2</v>
      </c>
      <c r="M67" s="13">
        <f t="shared" si="108"/>
        <v>0</v>
      </c>
      <c r="N67" s="97">
        <f t="shared" si="109"/>
        <v>1</v>
      </c>
      <c r="O67" s="56">
        <v>1</v>
      </c>
      <c r="P67" s="56" t="s">
        <v>0</v>
      </c>
      <c r="Q67" s="57">
        <v>3</v>
      </c>
      <c r="R67" s="13">
        <f t="shared" si="110"/>
        <v>0</v>
      </c>
      <c r="S67" s="97">
        <f t="shared" si="111"/>
        <v>2</v>
      </c>
      <c r="T67" s="56">
        <v>2</v>
      </c>
      <c r="U67" s="56" t="s">
        <v>0</v>
      </c>
      <c r="V67" s="57">
        <v>1</v>
      </c>
      <c r="W67" s="13">
        <f t="shared" si="112"/>
        <v>0</v>
      </c>
      <c r="X67" s="97">
        <f t="shared" si="113"/>
        <v>3</v>
      </c>
      <c r="Y67" s="74">
        <v>1</v>
      </c>
      <c r="Z67" s="56" t="s">
        <v>0</v>
      </c>
      <c r="AA67" s="76">
        <v>1</v>
      </c>
      <c r="AB67" s="13">
        <f t="shared" si="114"/>
        <v>3</v>
      </c>
      <c r="AC67" s="97">
        <f t="shared" si="115"/>
        <v>3</v>
      </c>
      <c r="AD67" s="56">
        <v>1</v>
      </c>
      <c r="AE67" s="56" t="s">
        <v>0</v>
      </c>
      <c r="AF67" s="57">
        <v>1</v>
      </c>
      <c r="AG67" s="13">
        <f t="shared" si="116"/>
        <v>3</v>
      </c>
      <c r="AH67" s="97">
        <f t="shared" si="117"/>
        <v>1</v>
      </c>
      <c r="AI67" s="56">
        <v>1</v>
      </c>
      <c r="AJ67" s="56" t="s">
        <v>0</v>
      </c>
      <c r="AK67" s="57">
        <v>2</v>
      </c>
      <c r="AL67" s="13">
        <f t="shared" si="118"/>
        <v>0</v>
      </c>
      <c r="AM67" s="97">
        <f t="shared" si="119"/>
        <v>2</v>
      </c>
      <c r="AN67" s="56">
        <v>2</v>
      </c>
      <c r="AO67" s="56" t="s">
        <v>0</v>
      </c>
      <c r="AP67" s="57">
        <v>1</v>
      </c>
      <c r="AQ67" s="13">
        <f t="shared" si="120"/>
        <v>0</v>
      </c>
      <c r="AR67" s="97">
        <f t="shared" si="121"/>
        <v>3</v>
      </c>
      <c r="AS67" s="56">
        <v>1</v>
      </c>
      <c r="AT67" s="56" t="s">
        <v>0</v>
      </c>
      <c r="AU67" s="57">
        <v>1</v>
      </c>
      <c r="AV67" s="13">
        <f t="shared" si="122"/>
        <v>3</v>
      </c>
      <c r="AW67" s="97">
        <f t="shared" si="123"/>
        <v>1</v>
      </c>
      <c r="AX67" s="56">
        <v>0</v>
      </c>
      <c r="AY67" s="56" t="s">
        <v>0</v>
      </c>
      <c r="AZ67" s="57">
        <v>1</v>
      </c>
      <c r="BA67" s="13">
        <f t="shared" si="103"/>
        <v>0</v>
      </c>
      <c r="BB67" s="97">
        <f t="shared" si="124"/>
        <v>3</v>
      </c>
      <c r="BC67" s="56">
        <v>1</v>
      </c>
      <c r="BD67" s="56" t="s">
        <v>0</v>
      </c>
      <c r="BE67" s="57">
        <v>1</v>
      </c>
      <c r="BF67" s="13">
        <f t="shared" si="105"/>
        <v>3</v>
      </c>
      <c r="BG67" s="97">
        <f t="shared" si="13"/>
        <v>2</v>
      </c>
      <c r="BH67" s="64">
        <v>2</v>
      </c>
      <c r="BI67" s="64" t="s">
        <v>0</v>
      </c>
      <c r="BJ67" s="65">
        <v>0</v>
      </c>
      <c r="BK67" s="13">
        <f t="shared" si="125"/>
        <v>0</v>
      </c>
      <c r="BL67" s="97">
        <f t="shared" si="14"/>
        <v>2</v>
      </c>
      <c r="BM67" s="56">
        <v>2</v>
      </c>
      <c r="BN67" s="56" t="s">
        <v>0</v>
      </c>
      <c r="BO67" s="57">
        <v>0</v>
      </c>
      <c r="BP67" s="13">
        <f t="shared" si="126"/>
        <v>0</v>
      </c>
      <c r="BQ67" s="97">
        <f t="shared" si="15"/>
        <v>3</v>
      </c>
      <c r="BR67" s="56"/>
      <c r="BS67" s="56"/>
      <c r="BT67" s="57"/>
      <c r="BU67" s="13">
        <f t="shared" si="127"/>
        <v>0</v>
      </c>
      <c r="BV67" s="97">
        <f t="shared" si="16"/>
        <v>3</v>
      </c>
      <c r="BW67" s="56"/>
      <c r="BX67" s="56"/>
      <c r="BY67" s="57"/>
      <c r="BZ67" s="13"/>
      <c r="CA67" s="97">
        <f t="shared" si="17"/>
        <v>3</v>
      </c>
      <c r="CB67" s="25"/>
      <c r="CC67" s="12" t="s">
        <v>0</v>
      </c>
      <c r="CD67" s="26"/>
      <c r="CE67" s="13">
        <f t="shared" si="128"/>
        <v>0</v>
      </c>
    </row>
    <row r="68" spans="1:83" ht="12.75" customHeight="1" outlineLevel="2">
      <c r="A68" s="71">
        <v>46200.875</v>
      </c>
      <c r="B68" s="34" t="s">
        <v>115</v>
      </c>
      <c r="C68" s="35" t="s">
        <v>111</v>
      </c>
      <c r="D68" s="43">
        <v>1</v>
      </c>
      <c r="E68" s="44" t="s">
        <v>0</v>
      </c>
      <c r="F68" s="43">
        <v>5</v>
      </c>
      <c r="G68">
        <f t="shared" si="106"/>
        <v>1</v>
      </c>
      <c r="H68" s="78">
        <v>16</v>
      </c>
      <c r="I68" s="97">
        <f t="shared" si="107"/>
        <v>1</v>
      </c>
      <c r="J68" s="56">
        <v>1</v>
      </c>
      <c r="K68" s="56" t="s">
        <v>0</v>
      </c>
      <c r="L68" s="57">
        <v>2</v>
      </c>
      <c r="M68" s="13">
        <f t="shared" si="108"/>
        <v>1</v>
      </c>
      <c r="N68" s="97">
        <f t="shared" si="109"/>
        <v>1</v>
      </c>
      <c r="O68" s="56">
        <v>0</v>
      </c>
      <c r="P68" s="56" t="s">
        <v>0</v>
      </c>
      <c r="Q68" s="57">
        <v>2</v>
      </c>
      <c r="R68" s="13">
        <f t="shared" si="110"/>
        <v>1</v>
      </c>
      <c r="S68" s="97">
        <f t="shared" si="111"/>
        <v>2</v>
      </c>
      <c r="T68" s="56">
        <v>1</v>
      </c>
      <c r="U68" s="56" t="s">
        <v>0</v>
      </c>
      <c r="V68" s="57">
        <v>0</v>
      </c>
      <c r="W68" s="13">
        <f t="shared" si="112"/>
        <v>0</v>
      </c>
      <c r="X68" s="97">
        <f t="shared" si="113"/>
        <v>1</v>
      </c>
      <c r="Y68" s="74">
        <v>0</v>
      </c>
      <c r="Z68" s="56" t="s">
        <v>0</v>
      </c>
      <c r="AA68" s="76">
        <v>2</v>
      </c>
      <c r="AB68" s="13">
        <f t="shared" si="114"/>
        <v>1</v>
      </c>
      <c r="AC68" s="97">
        <f t="shared" si="115"/>
        <v>1</v>
      </c>
      <c r="AD68" s="56">
        <v>0</v>
      </c>
      <c r="AE68" s="56" t="s">
        <v>0</v>
      </c>
      <c r="AF68" s="57">
        <v>2</v>
      </c>
      <c r="AG68" s="13">
        <f t="shared" si="116"/>
        <v>1</v>
      </c>
      <c r="AH68" s="97">
        <f t="shared" si="117"/>
        <v>1</v>
      </c>
      <c r="AI68" s="56">
        <v>0</v>
      </c>
      <c r="AJ68" s="56" t="s">
        <v>0</v>
      </c>
      <c r="AK68" s="57">
        <v>2</v>
      </c>
      <c r="AL68" s="13">
        <f t="shared" si="118"/>
        <v>1</v>
      </c>
      <c r="AM68" s="97">
        <f t="shared" si="119"/>
        <v>1</v>
      </c>
      <c r="AN68" s="56">
        <v>0</v>
      </c>
      <c r="AO68" s="56" t="s">
        <v>0</v>
      </c>
      <c r="AP68" s="57">
        <v>2</v>
      </c>
      <c r="AQ68" s="13">
        <f t="shared" si="120"/>
        <v>1</v>
      </c>
      <c r="AR68" s="97">
        <f t="shared" si="121"/>
        <v>3</v>
      </c>
      <c r="AS68" s="56">
        <v>1</v>
      </c>
      <c r="AT68" s="56" t="s">
        <v>0</v>
      </c>
      <c r="AU68" s="57">
        <v>1</v>
      </c>
      <c r="AV68" s="13">
        <f t="shared" si="122"/>
        <v>0</v>
      </c>
      <c r="AW68" s="97">
        <f t="shared" si="123"/>
        <v>1</v>
      </c>
      <c r="AX68" s="56">
        <v>0</v>
      </c>
      <c r="AY68" s="56" t="s">
        <v>0</v>
      </c>
      <c r="AZ68" s="57">
        <v>2</v>
      </c>
      <c r="BA68" s="13">
        <f t="shared" si="103"/>
        <v>1</v>
      </c>
      <c r="BB68" s="97">
        <f t="shared" si="124"/>
        <v>1</v>
      </c>
      <c r="BC68" s="56">
        <v>0</v>
      </c>
      <c r="BD68" s="56" t="s">
        <v>0</v>
      </c>
      <c r="BE68" s="57">
        <v>3</v>
      </c>
      <c r="BF68" s="13">
        <f t="shared" si="105"/>
        <v>1</v>
      </c>
      <c r="BG68" s="97">
        <f t="shared" si="13"/>
        <v>1</v>
      </c>
      <c r="BH68" s="64">
        <v>0</v>
      </c>
      <c r="BI68" s="64" t="s">
        <v>0</v>
      </c>
      <c r="BJ68" s="65">
        <v>3</v>
      </c>
      <c r="BK68" s="13">
        <f t="shared" si="125"/>
        <v>1</v>
      </c>
      <c r="BL68" s="97">
        <f t="shared" si="14"/>
        <v>1</v>
      </c>
      <c r="BM68" s="56">
        <v>0</v>
      </c>
      <c r="BN68" s="56" t="s">
        <v>0</v>
      </c>
      <c r="BO68" s="57">
        <v>2</v>
      </c>
      <c r="BP68" s="13">
        <f t="shared" si="126"/>
        <v>1</v>
      </c>
      <c r="BQ68" s="97">
        <f t="shared" si="15"/>
        <v>3</v>
      </c>
      <c r="BR68" s="56"/>
      <c r="BS68" s="56"/>
      <c r="BT68" s="57"/>
      <c r="BU68" s="13">
        <f t="shared" si="127"/>
        <v>0</v>
      </c>
      <c r="BV68" s="97">
        <f t="shared" si="16"/>
        <v>3</v>
      </c>
      <c r="BW68" s="56"/>
      <c r="BX68" s="56"/>
      <c r="BY68" s="57"/>
      <c r="BZ68" s="13"/>
      <c r="CA68" s="97">
        <f t="shared" si="17"/>
        <v>3</v>
      </c>
      <c r="CB68" s="25"/>
      <c r="CC68" s="12" t="s">
        <v>0</v>
      </c>
      <c r="CD68" s="26"/>
      <c r="CE68" s="13">
        <f t="shared" si="128"/>
        <v>0</v>
      </c>
    </row>
    <row r="69" spans="1:83" ht="12.75" customHeight="1" outlineLevel="2">
      <c r="A69" s="71">
        <v>46200.75</v>
      </c>
      <c r="B69" s="34" t="s">
        <v>110</v>
      </c>
      <c r="C69" s="35" t="s">
        <v>113</v>
      </c>
      <c r="D69" s="43">
        <v>0</v>
      </c>
      <c r="E69" s="44" t="s">
        <v>0</v>
      </c>
      <c r="F69" s="43">
        <v>0</v>
      </c>
      <c r="G69">
        <f t="shared" si="106"/>
        <v>3</v>
      </c>
      <c r="H69" s="78">
        <v>17</v>
      </c>
      <c r="I69" s="97">
        <f t="shared" si="107"/>
        <v>1</v>
      </c>
      <c r="J69" s="56">
        <v>1</v>
      </c>
      <c r="K69" s="56" t="s">
        <v>0</v>
      </c>
      <c r="L69" s="57">
        <v>2</v>
      </c>
      <c r="M69" s="13">
        <f t="shared" si="108"/>
        <v>0</v>
      </c>
      <c r="N69" s="97">
        <f t="shared" si="109"/>
        <v>2</v>
      </c>
      <c r="O69" s="56">
        <v>1</v>
      </c>
      <c r="P69" s="56" t="s">
        <v>0</v>
      </c>
      <c r="Q69" s="57">
        <v>0</v>
      </c>
      <c r="R69" s="13">
        <f t="shared" si="110"/>
        <v>0</v>
      </c>
      <c r="S69" s="97">
        <f t="shared" si="111"/>
        <v>1</v>
      </c>
      <c r="T69" s="56">
        <v>0</v>
      </c>
      <c r="U69" s="56" t="s">
        <v>0</v>
      </c>
      <c r="V69" s="57">
        <v>2</v>
      </c>
      <c r="W69" s="13">
        <f t="shared" si="112"/>
        <v>0</v>
      </c>
      <c r="X69" s="97">
        <f t="shared" si="113"/>
        <v>3</v>
      </c>
      <c r="Y69" s="74">
        <v>2</v>
      </c>
      <c r="Z69" s="56" t="s">
        <v>0</v>
      </c>
      <c r="AA69" s="76">
        <v>2</v>
      </c>
      <c r="AB69" s="13">
        <f t="shared" si="114"/>
        <v>1</v>
      </c>
      <c r="AC69" s="97">
        <f t="shared" si="115"/>
        <v>3</v>
      </c>
      <c r="AD69" s="56">
        <v>1</v>
      </c>
      <c r="AE69" s="56" t="s">
        <v>0</v>
      </c>
      <c r="AF69" s="57">
        <v>1</v>
      </c>
      <c r="AG69" s="13">
        <f t="shared" si="116"/>
        <v>1</v>
      </c>
      <c r="AH69" s="97">
        <f t="shared" si="117"/>
        <v>3</v>
      </c>
      <c r="AI69" s="56">
        <v>1</v>
      </c>
      <c r="AJ69" s="56" t="s">
        <v>0</v>
      </c>
      <c r="AK69" s="57">
        <v>1</v>
      </c>
      <c r="AL69" s="13">
        <f t="shared" si="118"/>
        <v>1</v>
      </c>
      <c r="AM69" s="97">
        <f t="shared" si="119"/>
        <v>1</v>
      </c>
      <c r="AN69" s="56">
        <v>1</v>
      </c>
      <c r="AO69" s="56" t="s">
        <v>0</v>
      </c>
      <c r="AP69" s="57">
        <v>2</v>
      </c>
      <c r="AQ69" s="13">
        <f t="shared" si="120"/>
        <v>0</v>
      </c>
      <c r="AR69" s="97">
        <f t="shared" si="121"/>
        <v>1</v>
      </c>
      <c r="AS69" s="56">
        <v>0</v>
      </c>
      <c r="AT69" s="56" t="s">
        <v>0</v>
      </c>
      <c r="AU69" s="57">
        <v>1</v>
      </c>
      <c r="AV69" s="13">
        <f t="shared" si="122"/>
        <v>0</v>
      </c>
      <c r="AW69" s="97">
        <f t="shared" si="123"/>
        <v>2</v>
      </c>
      <c r="AX69" s="56">
        <v>1</v>
      </c>
      <c r="AY69" s="56" t="s">
        <v>0</v>
      </c>
      <c r="AZ69" s="57">
        <v>0</v>
      </c>
      <c r="BA69" s="13">
        <f t="shared" si="103"/>
        <v>0</v>
      </c>
      <c r="BB69" s="97">
        <f t="shared" si="124"/>
        <v>1</v>
      </c>
      <c r="BC69" s="56">
        <v>0</v>
      </c>
      <c r="BD69" s="56" t="s">
        <v>0</v>
      </c>
      <c r="BE69" s="57">
        <v>1</v>
      </c>
      <c r="BF69" s="13">
        <f t="shared" si="105"/>
        <v>0</v>
      </c>
      <c r="BG69" s="97">
        <f t="shared" si="13"/>
        <v>2</v>
      </c>
      <c r="BH69" s="64">
        <v>2</v>
      </c>
      <c r="BI69" s="64" t="s">
        <v>0</v>
      </c>
      <c r="BJ69" s="65">
        <v>1</v>
      </c>
      <c r="BK69" s="13">
        <f t="shared" si="125"/>
        <v>0</v>
      </c>
      <c r="BL69" s="97">
        <f t="shared" si="14"/>
        <v>1</v>
      </c>
      <c r="BM69" s="56">
        <v>0</v>
      </c>
      <c r="BN69" s="56" t="s">
        <v>0</v>
      </c>
      <c r="BO69" s="57">
        <v>1</v>
      </c>
      <c r="BP69" s="13">
        <f t="shared" si="126"/>
        <v>0</v>
      </c>
      <c r="BQ69" s="97">
        <f t="shared" si="15"/>
        <v>3</v>
      </c>
      <c r="BR69" s="56"/>
      <c r="BS69" s="56"/>
      <c r="BT69" s="57"/>
      <c r="BU69" s="13">
        <f t="shared" si="127"/>
        <v>0</v>
      </c>
      <c r="BV69" s="97">
        <f t="shared" si="16"/>
        <v>3</v>
      </c>
      <c r="BW69" s="56"/>
      <c r="BX69" s="56"/>
      <c r="BY69" s="57"/>
      <c r="BZ69" s="13"/>
      <c r="CA69" s="97">
        <f t="shared" si="17"/>
        <v>3</v>
      </c>
      <c r="CB69" s="25"/>
      <c r="CC69" s="12" t="s">
        <v>0</v>
      </c>
      <c r="CD69" s="26"/>
      <c r="CE69" s="13">
        <f t="shared" si="128"/>
        <v>0</v>
      </c>
    </row>
    <row r="70" spans="1:83" ht="12.75" customHeight="1" outlineLevel="2">
      <c r="A70" s="71">
        <v>46200.75</v>
      </c>
      <c r="B70" s="34" t="s">
        <v>114</v>
      </c>
      <c r="C70" s="35" t="s">
        <v>91</v>
      </c>
      <c r="D70" s="43">
        <v>0</v>
      </c>
      <c r="E70" s="44" t="s">
        <v>0</v>
      </c>
      <c r="F70" s="43">
        <v>1</v>
      </c>
      <c r="G70">
        <f t="shared" si="106"/>
        <v>1</v>
      </c>
      <c r="H70" s="78">
        <v>18</v>
      </c>
      <c r="I70" s="97">
        <f t="shared" si="107"/>
        <v>1</v>
      </c>
      <c r="J70" s="56">
        <v>1</v>
      </c>
      <c r="K70" s="56" t="s">
        <v>0</v>
      </c>
      <c r="L70" s="57">
        <v>2</v>
      </c>
      <c r="M70" s="13">
        <f t="shared" si="108"/>
        <v>1</v>
      </c>
      <c r="N70" s="97">
        <f t="shared" si="109"/>
        <v>2</v>
      </c>
      <c r="O70" s="56">
        <v>2</v>
      </c>
      <c r="P70" s="56" t="s">
        <v>0</v>
      </c>
      <c r="Q70" s="57">
        <v>0</v>
      </c>
      <c r="R70" s="13">
        <f t="shared" si="110"/>
        <v>0</v>
      </c>
      <c r="S70" s="97">
        <f t="shared" si="111"/>
        <v>1</v>
      </c>
      <c r="T70" s="56">
        <v>1</v>
      </c>
      <c r="U70" s="56" t="s">
        <v>0</v>
      </c>
      <c r="V70" s="57">
        <v>3</v>
      </c>
      <c r="W70" s="13">
        <f t="shared" si="112"/>
        <v>1</v>
      </c>
      <c r="X70" s="97">
        <f t="shared" si="113"/>
        <v>1</v>
      </c>
      <c r="Y70" s="74">
        <v>0</v>
      </c>
      <c r="Z70" s="56" t="s">
        <v>0</v>
      </c>
      <c r="AA70" s="76">
        <v>3</v>
      </c>
      <c r="AB70" s="13">
        <f t="shared" si="114"/>
        <v>1</v>
      </c>
      <c r="AC70" s="97">
        <f t="shared" si="115"/>
        <v>1</v>
      </c>
      <c r="AD70" s="56">
        <v>1</v>
      </c>
      <c r="AE70" s="56" t="s">
        <v>0</v>
      </c>
      <c r="AF70" s="57">
        <v>3</v>
      </c>
      <c r="AG70" s="13">
        <f t="shared" si="116"/>
        <v>1</v>
      </c>
      <c r="AH70" s="97">
        <f t="shared" si="117"/>
        <v>1</v>
      </c>
      <c r="AI70" s="56">
        <v>1</v>
      </c>
      <c r="AJ70" s="56" t="s">
        <v>0</v>
      </c>
      <c r="AK70" s="57">
        <v>2</v>
      </c>
      <c r="AL70" s="13">
        <f t="shared" si="118"/>
        <v>1</v>
      </c>
      <c r="AM70" s="97">
        <f t="shared" si="119"/>
        <v>1</v>
      </c>
      <c r="AN70" s="56">
        <v>1</v>
      </c>
      <c r="AO70" s="56" t="s">
        <v>0</v>
      </c>
      <c r="AP70" s="57">
        <v>3</v>
      </c>
      <c r="AQ70" s="13">
        <f t="shared" si="120"/>
        <v>1</v>
      </c>
      <c r="AR70" s="97">
        <f t="shared" si="121"/>
        <v>3</v>
      </c>
      <c r="AS70" s="56">
        <v>3</v>
      </c>
      <c r="AT70" s="56" t="s">
        <v>0</v>
      </c>
      <c r="AU70" s="57">
        <v>3</v>
      </c>
      <c r="AV70" s="13">
        <f t="shared" si="122"/>
        <v>0</v>
      </c>
      <c r="AW70" s="97">
        <f t="shared" si="123"/>
        <v>2</v>
      </c>
      <c r="AX70" s="56">
        <v>1</v>
      </c>
      <c r="AY70" s="56" t="s">
        <v>0</v>
      </c>
      <c r="AZ70" s="57">
        <v>0</v>
      </c>
      <c r="BA70" s="13">
        <f t="shared" si="103"/>
        <v>0</v>
      </c>
      <c r="BB70" s="97">
        <f t="shared" si="124"/>
        <v>1</v>
      </c>
      <c r="BC70" s="56">
        <v>1</v>
      </c>
      <c r="BD70" s="56" t="s">
        <v>0</v>
      </c>
      <c r="BE70" s="57">
        <v>2</v>
      </c>
      <c r="BF70" s="13">
        <f t="shared" si="105"/>
        <v>1</v>
      </c>
      <c r="BG70" s="97">
        <f t="shared" si="13"/>
        <v>1</v>
      </c>
      <c r="BH70" s="64">
        <v>0</v>
      </c>
      <c r="BI70" s="64" t="s">
        <v>0</v>
      </c>
      <c r="BJ70" s="65">
        <v>2</v>
      </c>
      <c r="BK70" s="13">
        <f t="shared" si="125"/>
        <v>1</v>
      </c>
      <c r="BL70" s="97">
        <f t="shared" si="14"/>
        <v>2</v>
      </c>
      <c r="BM70" s="56">
        <v>2</v>
      </c>
      <c r="BN70" s="56" t="s">
        <v>0</v>
      </c>
      <c r="BO70" s="57">
        <v>1</v>
      </c>
      <c r="BP70" s="13">
        <f t="shared" si="126"/>
        <v>0</v>
      </c>
      <c r="BQ70" s="97">
        <f t="shared" si="15"/>
        <v>3</v>
      </c>
      <c r="BR70" s="56"/>
      <c r="BS70" s="56"/>
      <c r="BT70" s="57"/>
      <c r="BU70" s="13">
        <f t="shared" si="127"/>
        <v>0</v>
      </c>
      <c r="BV70" s="97">
        <f t="shared" si="16"/>
        <v>3</v>
      </c>
      <c r="BW70" s="56"/>
      <c r="BX70" s="56"/>
      <c r="BY70" s="57"/>
      <c r="BZ70" s="13"/>
      <c r="CA70" s="97">
        <f t="shared" si="17"/>
        <v>3</v>
      </c>
      <c r="CB70" s="25"/>
      <c r="CC70" s="12" t="s">
        <v>0</v>
      </c>
      <c r="CD70" s="26"/>
      <c r="CE70" s="13">
        <f t="shared" si="128"/>
        <v>0</v>
      </c>
    </row>
    <row r="71" spans="1:83" ht="12.75" customHeight="1" outlineLevel="2">
      <c r="A71" s="71">
        <v>46200.916666666664</v>
      </c>
      <c r="B71" s="34" t="s">
        <v>86</v>
      </c>
      <c r="C71" s="35" t="s">
        <v>124</v>
      </c>
      <c r="D71" s="43">
        <v>0</v>
      </c>
      <c r="E71" s="44" t="s">
        <v>0</v>
      </c>
      <c r="F71" s="43">
        <v>2</v>
      </c>
      <c r="G71">
        <f t="shared" si="106"/>
        <v>1</v>
      </c>
      <c r="H71" s="78"/>
      <c r="I71" s="97">
        <f t="shared" si="107"/>
        <v>1</v>
      </c>
      <c r="J71" s="56">
        <v>0</v>
      </c>
      <c r="K71" s="56" t="s">
        <v>0</v>
      </c>
      <c r="L71" s="57">
        <v>2</v>
      </c>
      <c r="M71" s="13">
        <f t="shared" ref="M71:M72" si="129">IF(OR(D71="",J71=""),0,IF((J71=D71)*(L71=F71),3,IF(I71=G71,1,0)))</f>
        <v>3</v>
      </c>
      <c r="N71" s="97">
        <f t="shared" ref="N71:N72" si="130">IF(Q71=O71,3,IF(Q71&gt;O71,1,IF(Q71&lt;O71,2)))</f>
        <v>3</v>
      </c>
      <c r="O71" s="56">
        <v>0</v>
      </c>
      <c r="P71" s="56" t="s">
        <v>0</v>
      </c>
      <c r="Q71" s="57">
        <v>0</v>
      </c>
      <c r="R71" s="13">
        <f t="shared" ref="R71:R72" si="131">IF(OR(D71="",O71=""),0,IF((O71=D71)*(Q71=F71),3,IF(N71=G71,1,0)))</f>
        <v>0</v>
      </c>
      <c r="S71" s="97">
        <f t="shared" ref="S71:S72" si="132">IF(V71=T71,3,IF(V71&gt;T71,1,IF(V71&lt;T71,2)))</f>
        <v>1</v>
      </c>
      <c r="T71" s="56">
        <v>1</v>
      </c>
      <c r="U71" s="56" t="s">
        <v>0</v>
      </c>
      <c r="V71" s="57">
        <v>3</v>
      </c>
      <c r="W71" s="13">
        <f t="shared" ref="W71:W72" si="133">IF(OR(D71="",T71=""),0,IF((T71=D71)*(V71=F71),3,IF(S71=G71,1,0)))</f>
        <v>1</v>
      </c>
      <c r="X71" s="97">
        <f t="shared" ref="X71:X72" si="134">IF(AA71=Y71,3,IF(AA71&gt;Y71,1,IF(AA71&lt;Y71,2)))</f>
        <v>1</v>
      </c>
      <c r="Y71" s="74">
        <v>0</v>
      </c>
      <c r="Z71" s="56" t="s">
        <v>0</v>
      </c>
      <c r="AA71" s="76">
        <v>2</v>
      </c>
      <c r="AB71" s="13">
        <f t="shared" ref="AB71:AB72" si="135">IF(OR(D71="",Y71=""),0,IF((Y71=D71)*(AA71=F71),3,IF(X71=G71,1,0)))</f>
        <v>3</v>
      </c>
      <c r="AC71" s="97">
        <f t="shared" ref="AC71:AC72" si="136">IF(AF71=AD71,3,IF(AF71&gt;AD71,1,IF(AF71&lt;AD71,2)))</f>
        <v>1</v>
      </c>
      <c r="AD71" s="56">
        <v>0</v>
      </c>
      <c r="AE71" s="56" t="s">
        <v>0</v>
      </c>
      <c r="AF71" s="57">
        <v>2</v>
      </c>
      <c r="AG71" s="13">
        <f t="shared" ref="AG71:AG72" si="137">IF(OR(D71="",AD71=""),0,IF((AD71=D71)*(AF71=F71),3,IF(AC71=G71,1,0)))</f>
        <v>3</v>
      </c>
      <c r="AH71" s="97">
        <f t="shared" ref="AH71:AH72" si="138">IF(AK71=AI71,3,IF(AK71&gt;AI71,1,IF(AK71&lt;AI71,2)))</f>
        <v>1</v>
      </c>
      <c r="AI71" s="56">
        <v>0</v>
      </c>
      <c r="AJ71" s="56" t="s">
        <v>0</v>
      </c>
      <c r="AK71" s="57">
        <v>3</v>
      </c>
      <c r="AL71" s="13">
        <f t="shared" ref="AL71:AL72" si="139">IF(OR(D71="",AI71=""),0,IF((AI71=D71)*(AK71=F71),3,IF(AH71=G71,1,0)))</f>
        <v>1</v>
      </c>
      <c r="AM71" s="97">
        <f t="shared" ref="AM71:AM72" si="140">IF(AP71=AN71,3,IF(AP71&gt;AN71,1,IF(AP71&lt;AN71,2)))</f>
        <v>1</v>
      </c>
      <c r="AN71" s="56">
        <v>0</v>
      </c>
      <c r="AO71" s="56" t="s">
        <v>0</v>
      </c>
      <c r="AP71" s="57">
        <v>4</v>
      </c>
      <c r="AQ71" s="13">
        <f t="shared" ref="AQ71:AQ72" si="141">IF(OR(D71="",AN71=""),0,IF((AN71=D71)*(AP71=F71),3,IF(AM71=G71,1,0)))</f>
        <v>1</v>
      </c>
      <c r="AR71" s="97">
        <f t="shared" ref="AR71:AR72" si="142">IF(AU71=AS71,3,IF(AU71&gt;AS71,1,IF(AU71&lt;AS71,2)))</f>
        <v>1</v>
      </c>
      <c r="AS71" s="56">
        <v>0</v>
      </c>
      <c r="AT71" s="56" t="s">
        <v>0</v>
      </c>
      <c r="AU71" s="57">
        <v>3</v>
      </c>
      <c r="AV71" s="13">
        <f t="shared" ref="AV71:AV72" si="143">IF(OR(D71="",AS71=""),0,IF((AS71=D71)*(AU71=F71),3,IF(AR71=G71,1,0)))</f>
        <v>1</v>
      </c>
      <c r="AW71" s="97">
        <f t="shared" ref="AW71:AW72" si="144">IF(AZ71=AX71,3,IF(AZ71&gt;AX71,1,IF(AZ71&lt;AX71,2)))</f>
        <v>1</v>
      </c>
      <c r="AX71" s="56">
        <v>0</v>
      </c>
      <c r="AY71" s="56" t="s">
        <v>0</v>
      </c>
      <c r="AZ71" s="57">
        <v>1</v>
      </c>
      <c r="BA71" s="13">
        <f t="shared" ref="BA71:BA72" si="145">IF(OR(D71="",AX71=""),0,IF((AX71=D71)*(AZ71=F71),3,IF(AW71=G71,1,0)))</f>
        <v>1</v>
      </c>
      <c r="BB71" s="97">
        <f t="shared" ref="BB71:BB72" si="146">IF(BE71=BC71,3,IF(BE71&gt;BC71,1,IF(BE71&lt;BC71,2)))</f>
        <v>1</v>
      </c>
      <c r="BC71" s="56">
        <v>0</v>
      </c>
      <c r="BD71" s="56" t="s">
        <v>0</v>
      </c>
      <c r="BE71" s="57">
        <v>2</v>
      </c>
      <c r="BF71" s="13">
        <f t="shared" ref="BF71:BF72" si="147">IF(OR(D71="",BC71=""),0,IF((BC71=D71)*(BE71=F71),3,IF(BB71=G71,1,0)))</f>
        <v>3</v>
      </c>
      <c r="BG71" s="97">
        <f t="shared" si="13"/>
        <v>1</v>
      </c>
      <c r="BH71" s="64">
        <v>0</v>
      </c>
      <c r="BI71" s="64" t="s">
        <v>0</v>
      </c>
      <c r="BJ71" s="65">
        <v>3</v>
      </c>
      <c r="BK71" s="13">
        <f t="shared" si="125"/>
        <v>1</v>
      </c>
      <c r="BL71" s="97">
        <f t="shared" si="14"/>
        <v>1</v>
      </c>
      <c r="BM71" s="56">
        <v>1</v>
      </c>
      <c r="BN71" s="56" t="s">
        <v>0</v>
      </c>
      <c r="BO71" s="57">
        <v>2</v>
      </c>
      <c r="BP71" s="13">
        <f t="shared" si="126"/>
        <v>1</v>
      </c>
      <c r="BQ71" s="97">
        <f t="shared" si="15"/>
        <v>3</v>
      </c>
      <c r="BR71" s="56"/>
      <c r="BS71" s="56"/>
      <c r="BT71" s="57"/>
      <c r="BU71" s="13">
        <f t="shared" si="127"/>
        <v>0</v>
      </c>
      <c r="BV71" s="97">
        <f t="shared" si="16"/>
        <v>3</v>
      </c>
      <c r="BW71" s="56"/>
      <c r="BX71" s="56"/>
      <c r="BY71" s="57"/>
      <c r="BZ71" s="13"/>
      <c r="CA71" s="97">
        <f t="shared" si="17"/>
        <v>3</v>
      </c>
      <c r="CB71" s="25"/>
      <c r="CC71" s="12" t="s">
        <v>0</v>
      </c>
      <c r="CD71" s="26"/>
      <c r="CE71" s="13">
        <f t="shared" si="128"/>
        <v>0</v>
      </c>
    </row>
    <row r="72" spans="1:83" ht="12.75" customHeight="1" outlineLevel="2">
      <c r="A72" s="71">
        <v>46200.916666666664</v>
      </c>
      <c r="B72" s="34" t="s">
        <v>92</v>
      </c>
      <c r="C72" s="35" t="s">
        <v>83</v>
      </c>
      <c r="D72" s="43">
        <v>2</v>
      </c>
      <c r="E72" s="44" t="s">
        <v>0</v>
      </c>
      <c r="F72" s="43">
        <v>1</v>
      </c>
      <c r="G72">
        <f t="shared" si="106"/>
        <v>2</v>
      </c>
      <c r="H72" s="78"/>
      <c r="I72" s="97">
        <f t="shared" si="107"/>
        <v>2</v>
      </c>
      <c r="J72" s="56">
        <v>2</v>
      </c>
      <c r="K72" s="56" t="s">
        <v>0</v>
      </c>
      <c r="L72" s="57">
        <v>0</v>
      </c>
      <c r="M72" s="13">
        <f t="shared" si="129"/>
        <v>1</v>
      </c>
      <c r="N72" s="97">
        <f t="shared" si="130"/>
        <v>3</v>
      </c>
      <c r="O72" s="56">
        <v>1</v>
      </c>
      <c r="P72" s="56" t="s">
        <v>0</v>
      </c>
      <c r="Q72" s="57">
        <v>1</v>
      </c>
      <c r="R72" s="13">
        <f t="shared" si="131"/>
        <v>0</v>
      </c>
      <c r="S72" s="97">
        <f t="shared" si="132"/>
        <v>2</v>
      </c>
      <c r="T72" s="56">
        <v>4</v>
      </c>
      <c r="U72" s="56" t="s">
        <v>0</v>
      </c>
      <c r="V72" s="57">
        <v>1</v>
      </c>
      <c r="W72" s="13">
        <f t="shared" si="133"/>
        <v>1</v>
      </c>
      <c r="X72" s="97">
        <f t="shared" si="134"/>
        <v>2</v>
      </c>
      <c r="Y72" s="74">
        <v>3</v>
      </c>
      <c r="Z72" s="56" t="s">
        <v>0</v>
      </c>
      <c r="AA72" s="76">
        <v>0</v>
      </c>
      <c r="AB72" s="13">
        <f t="shared" si="135"/>
        <v>1</v>
      </c>
      <c r="AC72" s="97">
        <f t="shared" si="136"/>
        <v>3</v>
      </c>
      <c r="AD72" s="56">
        <v>2</v>
      </c>
      <c r="AE72" s="56" t="s">
        <v>0</v>
      </c>
      <c r="AF72" s="57">
        <v>2</v>
      </c>
      <c r="AG72" s="13">
        <f t="shared" si="137"/>
        <v>0</v>
      </c>
      <c r="AH72" s="97">
        <f t="shared" si="138"/>
        <v>2</v>
      </c>
      <c r="AI72" s="56">
        <v>2</v>
      </c>
      <c r="AJ72" s="56" t="s">
        <v>0</v>
      </c>
      <c r="AK72" s="57">
        <v>1</v>
      </c>
      <c r="AL72" s="13">
        <f t="shared" si="139"/>
        <v>3</v>
      </c>
      <c r="AM72" s="97">
        <f t="shared" si="140"/>
        <v>2</v>
      </c>
      <c r="AN72" s="56">
        <v>3</v>
      </c>
      <c r="AO72" s="56" t="s">
        <v>0</v>
      </c>
      <c r="AP72" s="57">
        <v>0</v>
      </c>
      <c r="AQ72" s="13">
        <f t="shared" si="141"/>
        <v>1</v>
      </c>
      <c r="AR72" s="97">
        <f t="shared" si="142"/>
        <v>2</v>
      </c>
      <c r="AS72" s="56">
        <v>2</v>
      </c>
      <c r="AT72" s="56" t="s">
        <v>0</v>
      </c>
      <c r="AU72" s="57">
        <v>1</v>
      </c>
      <c r="AV72" s="13">
        <f t="shared" si="143"/>
        <v>3</v>
      </c>
      <c r="AW72" s="97">
        <f t="shared" si="144"/>
        <v>2</v>
      </c>
      <c r="AX72" s="56">
        <v>2</v>
      </c>
      <c r="AY72" s="56" t="s">
        <v>0</v>
      </c>
      <c r="AZ72" s="57">
        <v>0</v>
      </c>
      <c r="BA72" s="13">
        <f t="shared" si="145"/>
        <v>1</v>
      </c>
      <c r="BB72" s="97">
        <f t="shared" si="146"/>
        <v>2</v>
      </c>
      <c r="BC72" s="56">
        <v>2</v>
      </c>
      <c r="BD72" s="56" t="s">
        <v>0</v>
      </c>
      <c r="BE72" s="57">
        <v>1</v>
      </c>
      <c r="BF72" s="13">
        <f t="shared" si="147"/>
        <v>3</v>
      </c>
      <c r="BG72" s="97">
        <f t="shared" si="13"/>
        <v>2</v>
      </c>
      <c r="BH72" s="64">
        <v>1</v>
      </c>
      <c r="BI72" s="64" t="s">
        <v>0</v>
      </c>
      <c r="BJ72" s="65">
        <v>0</v>
      </c>
      <c r="BK72" s="13">
        <f t="shared" si="125"/>
        <v>1</v>
      </c>
      <c r="BL72" s="97">
        <f t="shared" si="14"/>
        <v>2</v>
      </c>
      <c r="BM72" s="56">
        <v>1</v>
      </c>
      <c r="BN72" s="56" t="s">
        <v>0</v>
      </c>
      <c r="BO72" s="57">
        <v>0</v>
      </c>
      <c r="BP72" s="13">
        <f t="shared" si="126"/>
        <v>1</v>
      </c>
      <c r="BQ72" s="97">
        <f t="shared" si="15"/>
        <v>3</v>
      </c>
      <c r="BR72" s="56"/>
      <c r="BS72" s="56"/>
      <c r="BT72" s="57"/>
      <c r="BU72" s="13">
        <f t="shared" si="127"/>
        <v>0</v>
      </c>
      <c r="BV72" s="97">
        <f t="shared" si="16"/>
        <v>3</v>
      </c>
      <c r="BW72" s="56"/>
      <c r="BX72" s="56"/>
      <c r="BY72" s="57"/>
      <c r="BZ72" s="13"/>
      <c r="CA72" s="97">
        <f t="shared" si="17"/>
        <v>3</v>
      </c>
      <c r="CB72" s="25"/>
      <c r="CC72" s="12" t="s">
        <v>0</v>
      </c>
      <c r="CD72" s="26"/>
      <c r="CE72" s="13">
        <f t="shared" si="128"/>
        <v>0</v>
      </c>
    </row>
    <row r="73" spans="1:83" ht="13.8" customHeight="1" outlineLevel="2">
      <c r="A73" s="71">
        <v>46201.791666666664</v>
      </c>
      <c r="B73" s="34" t="s">
        <v>120</v>
      </c>
      <c r="C73" s="35" t="s">
        <v>81</v>
      </c>
      <c r="D73" s="43">
        <v>3</v>
      </c>
      <c r="E73" s="44" t="s">
        <v>0</v>
      </c>
      <c r="F73" s="43">
        <v>3</v>
      </c>
      <c r="G73">
        <f t="shared" si="106"/>
        <v>3</v>
      </c>
      <c r="H73" s="45"/>
      <c r="I73" s="97">
        <f t="shared" si="52"/>
        <v>1</v>
      </c>
      <c r="J73" s="56">
        <v>1</v>
      </c>
      <c r="K73" s="56" t="s">
        <v>0</v>
      </c>
      <c r="L73" s="57">
        <v>2</v>
      </c>
      <c r="M73" s="2">
        <f t="shared" si="38"/>
        <v>0</v>
      </c>
      <c r="N73" s="97">
        <f t="shared" si="2"/>
        <v>3</v>
      </c>
      <c r="O73" s="56">
        <v>2</v>
      </c>
      <c r="P73" s="56" t="s">
        <v>0</v>
      </c>
      <c r="Q73" s="57">
        <v>2</v>
      </c>
      <c r="R73" s="2">
        <f t="shared" si="49"/>
        <v>1</v>
      </c>
      <c r="S73" s="97">
        <f t="shared" si="3"/>
        <v>1</v>
      </c>
      <c r="T73" s="56">
        <v>1</v>
      </c>
      <c r="U73" s="56" t="s">
        <v>0</v>
      </c>
      <c r="V73" s="57">
        <v>3</v>
      </c>
      <c r="W73" s="2">
        <f t="shared" si="50"/>
        <v>0</v>
      </c>
      <c r="X73" s="97">
        <f t="shared" si="4"/>
        <v>1</v>
      </c>
      <c r="Y73" s="56">
        <v>0</v>
      </c>
      <c r="Z73" s="56" t="s">
        <v>0</v>
      </c>
      <c r="AA73" s="57">
        <v>1</v>
      </c>
      <c r="AB73" s="2">
        <f t="shared" si="39"/>
        <v>0</v>
      </c>
      <c r="AC73" s="97">
        <f t="shared" si="5"/>
        <v>3</v>
      </c>
      <c r="AD73" s="56">
        <v>1</v>
      </c>
      <c r="AE73" s="56" t="s">
        <v>0</v>
      </c>
      <c r="AF73" s="57">
        <v>1</v>
      </c>
      <c r="AG73" s="2">
        <f t="shared" si="40"/>
        <v>1</v>
      </c>
      <c r="AH73" s="97">
        <f t="shared" si="6"/>
        <v>3</v>
      </c>
      <c r="AI73" s="56">
        <v>1</v>
      </c>
      <c r="AJ73" s="56" t="s">
        <v>0</v>
      </c>
      <c r="AK73" s="57">
        <v>1</v>
      </c>
      <c r="AL73" s="2">
        <f t="shared" si="41"/>
        <v>1</v>
      </c>
      <c r="AM73" s="97">
        <f t="shared" si="7"/>
        <v>1</v>
      </c>
      <c r="AN73" s="56">
        <v>0</v>
      </c>
      <c r="AO73" s="56" t="s">
        <v>0</v>
      </c>
      <c r="AP73" s="57">
        <v>1</v>
      </c>
      <c r="AQ73" s="2">
        <f t="shared" si="42"/>
        <v>0</v>
      </c>
      <c r="AR73" s="97">
        <f t="shared" si="8"/>
        <v>3</v>
      </c>
      <c r="AS73" s="56">
        <v>1</v>
      </c>
      <c r="AT73" s="56" t="s">
        <v>0</v>
      </c>
      <c r="AU73" s="57">
        <v>1</v>
      </c>
      <c r="AV73" s="2">
        <f t="shared" si="43"/>
        <v>1</v>
      </c>
      <c r="AW73" s="97">
        <f t="shared" si="9"/>
        <v>2</v>
      </c>
      <c r="AX73" s="56">
        <v>1</v>
      </c>
      <c r="AY73" s="56" t="s">
        <v>0</v>
      </c>
      <c r="AZ73" s="57">
        <v>0</v>
      </c>
      <c r="BA73" s="2">
        <f t="shared" si="103"/>
        <v>0</v>
      </c>
      <c r="BB73" s="97">
        <f t="shared" si="11"/>
        <v>3</v>
      </c>
      <c r="BC73" s="56">
        <v>1</v>
      </c>
      <c r="BD73" s="56" t="s">
        <v>0</v>
      </c>
      <c r="BE73" s="57">
        <v>1</v>
      </c>
      <c r="BF73" s="2">
        <f t="shared" si="105"/>
        <v>1</v>
      </c>
      <c r="BG73" s="97">
        <f t="shared" si="13"/>
        <v>3</v>
      </c>
      <c r="BH73" s="56">
        <v>1</v>
      </c>
      <c r="BI73" s="56" t="s">
        <v>0</v>
      </c>
      <c r="BJ73" s="57">
        <v>1</v>
      </c>
      <c r="BK73" s="2">
        <f t="shared" si="125"/>
        <v>1</v>
      </c>
      <c r="BL73" s="97">
        <f t="shared" si="14"/>
        <v>1</v>
      </c>
      <c r="BM73" s="56">
        <v>0</v>
      </c>
      <c r="BN73" s="56" t="s">
        <v>0</v>
      </c>
      <c r="BO73" s="57">
        <v>1</v>
      </c>
      <c r="BP73" s="2">
        <f>IF(OR(D73="",BM73=""),0,IF((BM73=D73)*(BO73=F73),3,IF(BL73=G73,1,0)))</f>
        <v>0</v>
      </c>
      <c r="BQ73" s="97">
        <f t="shared" si="15"/>
        <v>3</v>
      </c>
      <c r="BR73" s="56"/>
      <c r="BS73" s="56" t="s">
        <v>0</v>
      </c>
      <c r="BT73" s="57"/>
      <c r="BU73" s="2">
        <f t="shared" si="127"/>
        <v>0</v>
      </c>
      <c r="BV73" s="97">
        <f t="shared" si="16"/>
        <v>3</v>
      </c>
      <c r="BW73" s="56"/>
      <c r="BX73" s="56" t="s">
        <v>0</v>
      </c>
      <c r="BY73" s="57"/>
      <c r="BZ73" s="2">
        <f>IF(OR(D73="",BW73=""),0,IF((BW73=D73)*(BY73=F73),3,IF(BV73=G73,1,0)))</f>
        <v>0</v>
      </c>
      <c r="CA73" s="97">
        <f t="shared" si="17"/>
        <v>3</v>
      </c>
      <c r="CB73" s="19"/>
      <c r="CC73" s="12" t="s">
        <v>0</v>
      </c>
      <c r="CD73" s="20"/>
      <c r="CE73" s="2">
        <f t="shared" si="128"/>
        <v>0</v>
      </c>
    </row>
    <row r="74" spans="1:83" ht="13.8" outlineLevel="2">
      <c r="A74" s="71">
        <v>46201.791666666664</v>
      </c>
      <c r="B74" s="36" t="s">
        <v>121</v>
      </c>
      <c r="C74" s="37" t="s">
        <v>119</v>
      </c>
      <c r="D74" s="43">
        <v>1</v>
      </c>
      <c r="E74" s="44" t="s">
        <v>0</v>
      </c>
      <c r="F74" s="43">
        <v>3</v>
      </c>
      <c r="G74">
        <f t="shared" si="51"/>
        <v>1</v>
      </c>
      <c r="H74" s="45"/>
      <c r="I74" s="97">
        <f t="shared" si="52"/>
        <v>1</v>
      </c>
      <c r="J74" s="56">
        <v>0</v>
      </c>
      <c r="K74" s="56" t="s">
        <v>0</v>
      </c>
      <c r="L74" s="57">
        <v>4</v>
      </c>
      <c r="M74" s="11">
        <f t="shared" si="38"/>
        <v>1</v>
      </c>
      <c r="N74" s="97">
        <f t="shared" si="2"/>
        <v>1</v>
      </c>
      <c r="O74" s="56">
        <v>0</v>
      </c>
      <c r="P74" s="56" t="s">
        <v>0</v>
      </c>
      <c r="Q74" s="57">
        <v>3</v>
      </c>
      <c r="R74" s="11">
        <f t="shared" si="49"/>
        <v>1</v>
      </c>
      <c r="S74" s="97">
        <f t="shared" si="3"/>
        <v>1</v>
      </c>
      <c r="T74" s="56">
        <v>1</v>
      </c>
      <c r="U74" s="56" t="s">
        <v>0</v>
      </c>
      <c r="V74" s="57">
        <v>4</v>
      </c>
      <c r="W74" s="11">
        <f t="shared" si="50"/>
        <v>1</v>
      </c>
      <c r="X74" s="97">
        <f t="shared" si="4"/>
        <v>1</v>
      </c>
      <c r="Y74" s="56">
        <v>0</v>
      </c>
      <c r="Z74" s="56" t="s">
        <v>0</v>
      </c>
      <c r="AA74" s="57">
        <v>2</v>
      </c>
      <c r="AB74" s="11">
        <f t="shared" si="39"/>
        <v>1</v>
      </c>
      <c r="AC74" s="97">
        <f t="shared" si="5"/>
        <v>1</v>
      </c>
      <c r="AD74" s="56">
        <v>0</v>
      </c>
      <c r="AE74" s="56" t="s">
        <v>0</v>
      </c>
      <c r="AF74" s="57">
        <v>2</v>
      </c>
      <c r="AG74" s="11">
        <f t="shared" si="40"/>
        <v>1</v>
      </c>
      <c r="AH74" s="97">
        <f t="shared" si="6"/>
        <v>1</v>
      </c>
      <c r="AI74" s="56">
        <v>0</v>
      </c>
      <c r="AJ74" s="56" t="s">
        <v>0</v>
      </c>
      <c r="AK74" s="57">
        <v>6</v>
      </c>
      <c r="AL74" s="11">
        <f t="shared" si="41"/>
        <v>1</v>
      </c>
      <c r="AM74" s="97">
        <f t="shared" si="7"/>
        <v>1</v>
      </c>
      <c r="AN74" s="56">
        <v>0</v>
      </c>
      <c r="AO74" s="56" t="s">
        <v>0</v>
      </c>
      <c r="AP74" s="57">
        <v>5</v>
      </c>
      <c r="AQ74" s="11">
        <f t="shared" si="42"/>
        <v>1</v>
      </c>
      <c r="AR74" s="97">
        <f t="shared" si="8"/>
        <v>1</v>
      </c>
      <c r="AS74" s="56">
        <v>0</v>
      </c>
      <c r="AT74" s="56" t="s">
        <v>0</v>
      </c>
      <c r="AU74" s="57">
        <v>4</v>
      </c>
      <c r="AV74" s="11">
        <f t="shared" si="43"/>
        <v>1</v>
      </c>
      <c r="AW74" s="97">
        <f t="shared" si="9"/>
        <v>1</v>
      </c>
      <c r="AX74" s="56">
        <v>0</v>
      </c>
      <c r="AY74" s="56" t="s">
        <v>0</v>
      </c>
      <c r="AZ74" s="57">
        <v>1</v>
      </c>
      <c r="BA74" s="11">
        <f t="shared" si="103"/>
        <v>1</v>
      </c>
      <c r="BB74" s="97">
        <f t="shared" si="11"/>
        <v>1</v>
      </c>
      <c r="BC74" s="56">
        <v>0</v>
      </c>
      <c r="BD74" s="56" t="s">
        <v>0</v>
      </c>
      <c r="BE74" s="57">
        <v>2</v>
      </c>
      <c r="BF74" s="11">
        <f t="shared" si="105"/>
        <v>1</v>
      </c>
      <c r="BG74" s="97">
        <f t="shared" si="13"/>
        <v>1</v>
      </c>
      <c r="BH74" s="66">
        <v>0</v>
      </c>
      <c r="BI74" s="66" t="s">
        <v>0</v>
      </c>
      <c r="BJ74" s="67">
        <v>4</v>
      </c>
      <c r="BK74" s="11">
        <f t="shared" si="125"/>
        <v>1</v>
      </c>
      <c r="BL74" s="97">
        <f t="shared" si="14"/>
        <v>1</v>
      </c>
      <c r="BM74" s="56">
        <v>0</v>
      </c>
      <c r="BN74" s="56" t="s">
        <v>0</v>
      </c>
      <c r="BO74" s="57">
        <v>4</v>
      </c>
      <c r="BP74" s="11">
        <f>IF(OR(D74="",BM74=""),0,IF((BM74=D74)*(BO74=F74),3,IF(BL74=G74,1,0)))</f>
        <v>1</v>
      </c>
      <c r="BQ74" s="97">
        <f t="shared" si="15"/>
        <v>3</v>
      </c>
      <c r="BR74" s="56"/>
      <c r="BS74" s="56" t="s">
        <v>0</v>
      </c>
      <c r="BT74" s="57"/>
      <c r="BU74" s="11">
        <f>IF(OR(D74="",BR74=""),0,IF((BR74=D74)*(BT74=F74),3,IF(BQ74=G74,1,0)))</f>
        <v>0</v>
      </c>
      <c r="BV74" s="97">
        <f t="shared" si="16"/>
        <v>3</v>
      </c>
      <c r="BW74" s="56"/>
      <c r="BX74" s="56" t="s">
        <v>0</v>
      </c>
      <c r="BY74" s="57"/>
      <c r="BZ74" s="11">
        <f>IF(OR(D74="",BW74=""),0,IF((BW74=D74)*(BY74=F74),3,IF(BV74=G74,1,0)))</f>
        <v>0</v>
      </c>
      <c r="CA74" s="97">
        <f t="shared" si="17"/>
        <v>3</v>
      </c>
      <c r="CB74" s="21"/>
      <c r="CC74" s="7" t="s">
        <v>0</v>
      </c>
      <c r="CD74" s="22"/>
      <c r="CE74" s="11">
        <f>IF(OR(D74="",CB74=""),0,IF((CB74=D74)*(CD74=F74),3,IF(CA74=G74,1,0)))</f>
        <v>0</v>
      </c>
    </row>
    <row r="75" spans="1:83" ht="13.8" outlineLevel="2">
      <c r="A75" s="71">
        <v>46201.916666666664</v>
      </c>
      <c r="B75" s="36" t="s">
        <v>125</v>
      </c>
      <c r="C75" s="37" t="s">
        <v>122</v>
      </c>
      <c r="D75" s="43">
        <v>0</v>
      </c>
      <c r="E75" s="44" t="s">
        <v>0</v>
      </c>
      <c r="F75" s="43">
        <v>0</v>
      </c>
      <c r="G75">
        <f t="shared" ref="G75" si="148">IF(F75=D75,3,IF(F75&lt;D75,2,IF(F75&gt;D75,1)))</f>
        <v>3</v>
      </c>
      <c r="H75" s="45"/>
      <c r="I75" s="97">
        <f t="shared" ref="I75" si="149">IF(L75=J75,3,IF(L75&gt;J75,1,IF(L75&lt;J75,2)))</f>
        <v>1</v>
      </c>
      <c r="J75" s="56">
        <v>0</v>
      </c>
      <c r="K75" s="56" t="s">
        <v>0</v>
      </c>
      <c r="L75" s="57">
        <v>4</v>
      </c>
      <c r="M75" s="11">
        <f t="shared" ref="M75" si="150">IF(OR(D75="",J75=""),0,IF((J75=D75)*(L75=F75),3,IF(I75=G75,1,0)))</f>
        <v>0</v>
      </c>
      <c r="N75" s="97">
        <f t="shared" ref="N75" si="151">IF(Q75=O75,3,IF(Q75&gt;O75,1,IF(Q75&lt;O75,2)))</f>
        <v>1</v>
      </c>
      <c r="O75" s="56">
        <v>0</v>
      </c>
      <c r="P75" s="56" t="s">
        <v>0</v>
      </c>
      <c r="Q75" s="57">
        <v>3</v>
      </c>
      <c r="R75" s="11">
        <f t="shared" ref="R75" si="152">IF(OR(D75="",O75=""),0,IF((O75=D75)*(Q75=F75),3,IF(N75=G75,1,0)))</f>
        <v>0</v>
      </c>
      <c r="S75" s="97">
        <f t="shared" ref="S75" si="153">IF(V75=T75,3,IF(V75&gt;T75,1,IF(V75&lt;T75,2)))</f>
        <v>1</v>
      </c>
      <c r="T75" s="56">
        <v>2</v>
      </c>
      <c r="U75" s="56" t="s">
        <v>0</v>
      </c>
      <c r="V75" s="57">
        <v>3</v>
      </c>
      <c r="W75" s="11">
        <f t="shared" ref="W75" si="154">IF(OR(D75="",T75=""),0,IF((T75=D75)*(V75=F75),3,IF(S75=G75,1,0)))</f>
        <v>0</v>
      </c>
      <c r="X75" s="97">
        <f t="shared" ref="X75" si="155">IF(AA75=Y75,3,IF(AA75&gt;Y75,1,IF(AA75&lt;Y75,2)))</f>
        <v>1</v>
      </c>
      <c r="Y75" s="56">
        <v>0</v>
      </c>
      <c r="Z75" s="56" t="s">
        <v>0</v>
      </c>
      <c r="AA75" s="57">
        <v>3</v>
      </c>
      <c r="AB75" s="11">
        <f t="shared" ref="AB75" si="156">IF(OR(D75="",Y75=""),0,IF((Y75=D75)*(AA75=F75),3,IF(X75=G75,1,0)))</f>
        <v>0</v>
      </c>
      <c r="AC75" s="97">
        <f t="shared" ref="AC75" si="157">IF(AF75=AD75,3,IF(AF75&gt;AD75,1,IF(AF75&lt;AD75,2)))</f>
        <v>1</v>
      </c>
      <c r="AD75" s="56">
        <v>0</v>
      </c>
      <c r="AE75" s="56" t="s">
        <v>0</v>
      </c>
      <c r="AF75" s="57">
        <v>2</v>
      </c>
      <c r="AG75" s="11">
        <f t="shared" ref="AG75" si="158">IF(OR(D75="",AD75=""),0,IF((AD75=D75)*(AF75=F75),3,IF(AC75=G75,1,0)))</f>
        <v>0</v>
      </c>
      <c r="AH75" s="97">
        <f t="shared" ref="AH75" si="159">IF(AK75=AI75,3,IF(AK75&gt;AI75,1,IF(AK75&lt;AI75,2)))</f>
        <v>3</v>
      </c>
      <c r="AI75" s="56">
        <v>2</v>
      </c>
      <c r="AJ75" s="56" t="s">
        <v>0</v>
      </c>
      <c r="AK75" s="57">
        <v>2</v>
      </c>
      <c r="AL75" s="11">
        <f t="shared" ref="AL75" si="160">IF(OR(D75="",AI75=""),0,IF((AI75=D75)*(AK75=F75),3,IF(AH75=G75,1,0)))</f>
        <v>1</v>
      </c>
      <c r="AM75" s="97">
        <f t="shared" ref="AM75" si="161">IF(AP75=AN75,3,IF(AP75&gt;AN75,1,IF(AP75&lt;AN75,2)))</f>
        <v>1</v>
      </c>
      <c r="AN75" s="56">
        <v>1</v>
      </c>
      <c r="AO75" s="56" t="s">
        <v>0</v>
      </c>
      <c r="AP75" s="57">
        <v>5</v>
      </c>
      <c r="AQ75" s="11">
        <f t="shared" ref="AQ75" si="162">IF(OR(D75="",AN75=""),0,IF((AN75=D75)*(AP75=F75),3,IF(AM75=G75,1,0)))</f>
        <v>0</v>
      </c>
      <c r="AR75" s="97">
        <f t="shared" ref="AR75" si="163">IF(AU75=AS75,3,IF(AU75&gt;AS75,1,IF(AU75&lt;AS75,2)))</f>
        <v>1</v>
      </c>
      <c r="AS75" s="56">
        <v>0</v>
      </c>
      <c r="AT75" s="56" t="s">
        <v>0</v>
      </c>
      <c r="AU75" s="57">
        <v>3</v>
      </c>
      <c r="AV75" s="11">
        <f t="shared" ref="AV75" si="164">IF(OR(D75="",AS75=""),0,IF((AS75=D75)*(AU75=F75),3,IF(AR75=G75,1,0)))</f>
        <v>0</v>
      </c>
      <c r="AW75" s="97">
        <f t="shared" ref="AW75" si="165">IF(AZ75=AX75,3,IF(AZ75&gt;AX75,1,IF(AZ75&lt;AX75,2)))</f>
        <v>2</v>
      </c>
      <c r="AX75" s="56">
        <v>1</v>
      </c>
      <c r="AY75" s="56" t="s">
        <v>0</v>
      </c>
      <c r="AZ75" s="57">
        <v>0</v>
      </c>
      <c r="BA75" s="11">
        <f t="shared" si="103"/>
        <v>0</v>
      </c>
      <c r="BB75" s="97">
        <f t="shared" ref="BB75" si="166">IF(BE75=BC75,3,IF(BE75&gt;BC75,1,IF(BE75&lt;BC75,2)))</f>
        <v>1</v>
      </c>
      <c r="BC75" s="56">
        <v>1</v>
      </c>
      <c r="BD75" s="56" t="s">
        <v>0</v>
      </c>
      <c r="BE75" s="57">
        <v>2</v>
      </c>
      <c r="BF75" s="11">
        <f t="shared" si="105"/>
        <v>0</v>
      </c>
      <c r="BG75" s="97">
        <f t="shared" ref="BG75" si="167">IF(BJ75=BH75,3,IF(BJ75&gt;BH75,1,IF(BJ75&lt;BH75,2)))</f>
        <v>1</v>
      </c>
      <c r="BH75" s="66">
        <v>0</v>
      </c>
      <c r="BI75" s="66" t="s">
        <v>0</v>
      </c>
      <c r="BJ75" s="67">
        <v>2</v>
      </c>
      <c r="BK75" s="11">
        <f>IF(OR(D75="",BH75=""),0,IF((BH75=D75)*(BJ75=F75),3,IF(BG75=G75,1,0)))</f>
        <v>0</v>
      </c>
      <c r="BL75" s="97">
        <f t="shared" ref="BL75" si="168">IF(BO75=BM75,3,IF(BO75&gt;BM75,1,IF(BO75&lt;BM75,2)))</f>
        <v>1</v>
      </c>
      <c r="BM75" s="56">
        <v>1</v>
      </c>
      <c r="BN75" s="56" t="s">
        <v>0</v>
      </c>
      <c r="BO75" s="57">
        <v>2</v>
      </c>
      <c r="BP75" s="11">
        <f>IF(OR(D75="",BM75=""),0,IF((BM75=D75)*(BO75=F75),3,IF(BL75=G75,1,0)))</f>
        <v>0</v>
      </c>
      <c r="BQ75" s="97">
        <f t="shared" ref="BQ75" si="169">IF(BT75=BR75,3,IF(BT75&gt;BR75,1,IF(BT75&lt;BR75,2)))</f>
        <v>3</v>
      </c>
      <c r="BR75" s="56"/>
      <c r="BS75" s="56" t="s">
        <v>0</v>
      </c>
      <c r="BT75" s="57"/>
      <c r="BU75" s="11">
        <f>IF(OR(D75="",BR75=""),0,IF((BR75=D75)*(BT75=F75),3,IF(BQ75=G75,1,0)))</f>
        <v>0</v>
      </c>
      <c r="BV75" s="97">
        <f t="shared" ref="BV75" si="170">IF(BY75=BW75,3,IF(BY75&gt;BW75,1,IF(BY75&lt;BW75,2)))</f>
        <v>3</v>
      </c>
      <c r="BW75" s="56"/>
      <c r="BX75" s="56" t="s">
        <v>0</v>
      </c>
      <c r="BY75" s="57"/>
      <c r="BZ75" s="11">
        <f>IF(OR(D75="",BW75=""),0,IF((BW75=D75)*(BY75=F75),3,IF(BV75=G75,1,0)))</f>
        <v>0</v>
      </c>
      <c r="CA75" s="97">
        <f t="shared" ref="CA75" si="171">IF(CD75=CB75,3,IF(CD75&gt;CB75,1,IF(CD75&lt;CB75,2)))</f>
        <v>3</v>
      </c>
      <c r="CB75" s="21"/>
      <c r="CC75" s="7" t="s">
        <v>0</v>
      </c>
      <c r="CD75" s="22"/>
      <c r="CE75" s="11">
        <f>IF(OR(D75="",CB75=""),0,IF((CB75=D75)*(CD75=F75),3,IF(CA75=G75,1,0)))</f>
        <v>0</v>
      </c>
    </row>
    <row r="76" spans="1:83" ht="14.4" outlineLevel="2" thickBot="1">
      <c r="A76" s="71">
        <v>46201.916666666664</v>
      </c>
      <c r="B76" s="38" t="s">
        <v>123</v>
      </c>
      <c r="C76" s="39" t="s">
        <v>82</v>
      </c>
      <c r="D76" s="43">
        <v>3</v>
      </c>
      <c r="E76" s="44" t="s">
        <v>0</v>
      </c>
      <c r="F76" s="43">
        <v>1</v>
      </c>
      <c r="G76" s="14">
        <f t="shared" si="51"/>
        <v>2</v>
      </c>
      <c r="H76" s="47"/>
      <c r="I76" s="99">
        <f t="shared" si="52"/>
        <v>3</v>
      </c>
      <c r="J76" s="56">
        <v>1</v>
      </c>
      <c r="K76" s="56" t="s">
        <v>0</v>
      </c>
      <c r="L76" s="57">
        <v>1</v>
      </c>
      <c r="M76" s="11">
        <f t="shared" si="38"/>
        <v>0</v>
      </c>
      <c r="N76" s="99">
        <f t="shared" si="2"/>
        <v>3</v>
      </c>
      <c r="O76" s="56">
        <v>2</v>
      </c>
      <c r="P76" s="56" t="s">
        <v>0</v>
      </c>
      <c r="Q76" s="57">
        <v>2</v>
      </c>
      <c r="R76" s="11">
        <f t="shared" si="49"/>
        <v>0</v>
      </c>
      <c r="S76" s="99">
        <f t="shared" si="3"/>
        <v>1</v>
      </c>
      <c r="T76" s="56">
        <v>1</v>
      </c>
      <c r="U76" s="56" t="s">
        <v>0</v>
      </c>
      <c r="V76" s="57">
        <v>2</v>
      </c>
      <c r="W76" s="11">
        <f t="shared" si="50"/>
        <v>0</v>
      </c>
      <c r="X76" s="99">
        <f t="shared" si="4"/>
        <v>3</v>
      </c>
      <c r="Y76" s="56">
        <v>0</v>
      </c>
      <c r="Z76" s="56" t="s">
        <v>0</v>
      </c>
      <c r="AA76" s="57">
        <v>0</v>
      </c>
      <c r="AB76" s="11">
        <f t="shared" si="39"/>
        <v>0</v>
      </c>
      <c r="AC76" s="99">
        <f t="shared" si="5"/>
        <v>2</v>
      </c>
      <c r="AD76" s="56">
        <v>2</v>
      </c>
      <c r="AE76" s="56" t="s">
        <v>0</v>
      </c>
      <c r="AF76" s="57">
        <v>0</v>
      </c>
      <c r="AG76" s="11">
        <f t="shared" si="40"/>
        <v>1</v>
      </c>
      <c r="AH76" s="99">
        <f t="shared" si="6"/>
        <v>3</v>
      </c>
      <c r="AI76" s="56">
        <v>0</v>
      </c>
      <c r="AJ76" s="56" t="s">
        <v>0</v>
      </c>
      <c r="AK76" s="57">
        <v>0</v>
      </c>
      <c r="AL76" s="11">
        <f t="shared" si="41"/>
        <v>0</v>
      </c>
      <c r="AM76" s="99">
        <f t="shared" si="7"/>
        <v>1</v>
      </c>
      <c r="AN76" s="56">
        <v>0</v>
      </c>
      <c r="AO76" s="56" t="s">
        <v>0</v>
      </c>
      <c r="AP76" s="57">
        <v>1</v>
      </c>
      <c r="AQ76" s="11">
        <f t="shared" si="42"/>
        <v>0</v>
      </c>
      <c r="AR76" s="99">
        <f t="shared" si="8"/>
        <v>3</v>
      </c>
      <c r="AS76" s="56">
        <v>1</v>
      </c>
      <c r="AT76" s="56" t="s">
        <v>0</v>
      </c>
      <c r="AU76" s="57">
        <v>1</v>
      </c>
      <c r="AV76" s="11">
        <f t="shared" si="43"/>
        <v>0</v>
      </c>
      <c r="AW76" s="99">
        <f t="shared" si="9"/>
        <v>1</v>
      </c>
      <c r="AX76" s="56">
        <v>1</v>
      </c>
      <c r="AY76" s="56" t="s">
        <v>0</v>
      </c>
      <c r="AZ76" s="57">
        <v>2</v>
      </c>
      <c r="BA76" s="11">
        <f t="shared" si="103"/>
        <v>0</v>
      </c>
      <c r="BB76" s="99">
        <f t="shared" si="11"/>
        <v>3</v>
      </c>
      <c r="BC76" s="56">
        <v>1</v>
      </c>
      <c r="BD76" s="56" t="s">
        <v>0</v>
      </c>
      <c r="BE76" s="57">
        <v>1</v>
      </c>
      <c r="BF76" s="11">
        <f t="shared" si="105"/>
        <v>0</v>
      </c>
      <c r="BG76" s="99">
        <f t="shared" si="13"/>
        <v>2</v>
      </c>
      <c r="BH76" s="68">
        <v>2</v>
      </c>
      <c r="BI76" s="68" t="s">
        <v>0</v>
      </c>
      <c r="BJ76" s="69">
        <v>0</v>
      </c>
      <c r="BK76" s="11">
        <f>IF(OR(D76="",BH76=""),0,IF((BH76=D76)*(BJ76=F76),3,IF(BG76=G76,1,0)))</f>
        <v>1</v>
      </c>
      <c r="BL76" s="99">
        <f t="shared" si="14"/>
        <v>2</v>
      </c>
      <c r="BM76" s="56">
        <v>1</v>
      </c>
      <c r="BN76" s="56" t="s">
        <v>0</v>
      </c>
      <c r="BO76" s="57">
        <v>0</v>
      </c>
      <c r="BP76" s="11">
        <f>IF(OR(D76="",BM76=""),0,IF((BM76=D76)*(BO76=F76),3,IF(BL76=G76,1,0)))</f>
        <v>1</v>
      </c>
      <c r="BQ76" s="99">
        <f t="shared" si="15"/>
        <v>3</v>
      </c>
      <c r="BR76" s="56"/>
      <c r="BS76" s="56" t="s">
        <v>0</v>
      </c>
      <c r="BT76" s="57"/>
      <c r="BU76" s="11">
        <f>IF(OR(D76="",BR76=""),0,IF((BR76=D76)*(BT76=F76),3,IF(BQ76=G76,1,0)))</f>
        <v>0</v>
      </c>
      <c r="BV76" s="99">
        <f t="shared" si="16"/>
        <v>3</v>
      </c>
      <c r="BW76" s="56"/>
      <c r="BX76" s="56" t="s">
        <v>0</v>
      </c>
      <c r="BY76" s="57"/>
      <c r="BZ76" s="11">
        <f>IF(OR(D76="",BW76=""),0,IF((BW76=D76)*(BY76=F76),3,IF(BV76=G76,1,0)))</f>
        <v>0</v>
      </c>
      <c r="CA76" s="99">
        <f t="shared" si="17"/>
        <v>3</v>
      </c>
      <c r="CB76" s="23"/>
      <c r="CC76" s="15" t="s">
        <v>0</v>
      </c>
      <c r="CD76" s="24"/>
      <c r="CE76" s="11">
        <f>IF(OR(D76="",CB76=""),0,IF((CB76=D76)*(CD76=F76),3,IF(CA76=G76,1,0)))</f>
        <v>0</v>
      </c>
    </row>
    <row r="77" spans="1:83" ht="16.2" thickBot="1">
      <c r="M77" s="16">
        <f>SUM(M3:M76)</f>
        <v>50</v>
      </c>
      <c r="R77" s="16">
        <f>SUM(R3:R76)</f>
        <v>40</v>
      </c>
      <c r="W77" s="16">
        <f>SUM(W3:W76)</f>
        <v>43</v>
      </c>
      <c r="AB77" s="16">
        <f>SUM(AB3:AB76)</f>
        <v>53</v>
      </c>
      <c r="AG77" s="16">
        <f>SUM(AG3:AG76)</f>
        <v>56</v>
      </c>
      <c r="AL77" s="16">
        <f>SUM(AL3:AL76)</f>
        <v>57</v>
      </c>
      <c r="AQ77" s="16">
        <f>SUM(AQ3:AQ76)</f>
        <v>53</v>
      </c>
      <c r="AV77" s="16">
        <f>SUM(AV3:AV76)</f>
        <v>54</v>
      </c>
      <c r="BA77" s="16">
        <f>SUM(BA3:BA76)</f>
        <v>43</v>
      </c>
      <c r="BF77" s="16">
        <f>SUM(BF3:BF76)</f>
        <v>63</v>
      </c>
      <c r="BK77" s="16">
        <f>SUM(BK3:BK76)</f>
        <v>52</v>
      </c>
      <c r="BP77" s="16">
        <f>SUM(BP3:BP76)</f>
        <v>51</v>
      </c>
      <c r="BU77" s="16">
        <f>SUM(BU3:BU76)</f>
        <v>0</v>
      </c>
      <c r="BZ77" s="16">
        <f>SUM(BZ3:BZ76)</f>
        <v>0</v>
      </c>
      <c r="CE77" s="16">
        <f>SUM(CE3:CE76)</f>
        <v>0</v>
      </c>
    </row>
    <row r="78" spans="1:83" ht="12.75" customHeight="1">
      <c r="M78" s="60">
        <f>COUNTIF(M3:M76, 3)</f>
        <v>6</v>
      </c>
      <c r="N78" s="61"/>
      <c r="O78" s="61"/>
      <c r="P78" s="61"/>
      <c r="Q78" s="61"/>
      <c r="R78" s="60">
        <f>COUNTIF(R3:R76, 3)</f>
        <v>4</v>
      </c>
      <c r="S78" s="61"/>
      <c r="T78" s="61"/>
      <c r="U78" s="61"/>
      <c r="V78" s="61"/>
      <c r="W78" s="60">
        <f>COUNTIF(W3:W76, 3)</f>
        <v>3</v>
      </c>
      <c r="X78" s="61"/>
      <c r="Y78" s="61"/>
      <c r="Z78" s="61"/>
      <c r="AA78" s="61"/>
      <c r="AB78" s="60">
        <f>COUNTIF(AB3:AB76, 3)</f>
        <v>9</v>
      </c>
      <c r="AC78" s="61"/>
      <c r="AD78" s="61"/>
      <c r="AE78" s="61"/>
      <c r="AF78" s="61"/>
      <c r="AG78" s="60">
        <f>COUNTIF(AG3:AG76,3)</f>
        <v>6</v>
      </c>
      <c r="AH78" s="61"/>
      <c r="AI78" s="61"/>
      <c r="AJ78" s="61"/>
      <c r="AK78" s="61"/>
      <c r="AL78" s="60">
        <f>COUNTIF(AL3:AL76, 3)</f>
        <v>8</v>
      </c>
      <c r="AM78" s="61"/>
      <c r="AN78" s="61"/>
      <c r="AO78" s="61"/>
      <c r="AP78" s="61"/>
      <c r="AQ78" s="60">
        <f>COUNTIF(AQ3:AQ76, 3)</f>
        <v>6</v>
      </c>
      <c r="AR78" s="61"/>
      <c r="AS78" s="61"/>
      <c r="AT78" s="61"/>
      <c r="AU78" s="61"/>
      <c r="AV78" s="60">
        <f>COUNTIF(AV3:AV76, 3)</f>
        <v>8</v>
      </c>
      <c r="AW78" s="18"/>
      <c r="AX78" s="18"/>
      <c r="AY78" s="18"/>
      <c r="AZ78" s="18"/>
      <c r="BA78" s="60">
        <f>COUNTIF(BA3:BA76, 3)</f>
        <v>4</v>
      </c>
      <c r="BB78" s="18"/>
      <c r="BC78" s="18"/>
      <c r="BD78" s="18"/>
      <c r="BE78" s="18"/>
      <c r="BF78" s="27">
        <f>COUNTIF(BF3:BF76, 3)</f>
        <v>10</v>
      </c>
      <c r="BG78" s="18"/>
      <c r="BH78" s="61"/>
      <c r="BI78" s="61"/>
      <c r="BJ78" s="61"/>
      <c r="BK78" s="60">
        <f>COUNTIF(BK3:BK76, 3)</f>
        <v>6</v>
      </c>
      <c r="BL78" s="18"/>
      <c r="BM78" s="18"/>
      <c r="BN78" s="18"/>
      <c r="BO78" s="18"/>
      <c r="BP78" s="27">
        <f>COUNTIF(BP3:BP76, 3)</f>
        <v>5</v>
      </c>
      <c r="BQ78" s="18"/>
      <c r="BR78" s="18"/>
      <c r="BS78" s="18"/>
      <c r="BT78" s="18"/>
      <c r="BU78" s="27">
        <f>COUNTIF(BU3:BU76, 3)</f>
        <v>0</v>
      </c>
      <c r="BV78" s="18"/>
      <c r="BW78" s="18"/>
      <c r="BX78" s="18"/>
      <c r="BY78" s="18"/>
      <c r="BZ78" s="27">
        <f>COUNTIF(BZ3:BZ76, 3)</f>
        <v>0</v>
      </c>
      <c r="CA78" s="18"/>
      <c r="CB78" s="18"/>
      <c r="CC78" s="18"/>
      <c r="CD78" s="18"/>
      <c r="CE78" s="27">
        <f>COUNTIF(CE3:CE76, 3)</f>
        <v>0</v>
      </c>
    </row>
    <row r="79" spans="1:83" ht="21" customHeight="1">
      <c r="B79" s="94" t="s">
        <v>141</v>
      </c>
      <c r="C79" s="95" t="s">
        <v>127</v>
      </c>
      <c r="D79" s="95" t="s">
        <v>6</v>
      </c>
      <c r="E79" s="94"/>
      <c r="F79" s="96"/>
      <c r="G79" s="96"/>
      <c r="H79" s="96" t="s">
        <v>142</v>
      </c>
      <c r="I79" s="100"/>
      <c r="J79" s="81"/>
      <c r="K79" s="81"/>
      <c r="L79" s="81"/>
      <c r="M79" s="81"/>
      <c r="P79" s="17"/>
      <c r="Q79" s="17"/>
      <c r="R79" s="17"/>
      <c r="S79" s="17"/>
      <c r="T79" s="17"/>
      <c r="U79" s="17"/>
      <c r="V79" s="17"/>
      <c r="W79" s="17"/>
      <c r="X79" s="17"/>
      <c r="Y79" s="17"/>
    </row>
    <row r="80" spans="1:83" ht="27" customHeight="1">
      <c r="A80" s="73"/>
      <c r="B80" s="82">
        <v>1</v>
      </c>
      <c r="C80" s="83" t="s">
        <v>144</v>
      </c>
      <c r="D80" s="84">
        <v>63</v>
      </c>
      <c r="E80" s="83"/>
      <c r="F80" s="83"/>
      <c r="G80" s="83"/>
      <c r="H80" s="84">
        <v>10</v>
      </c>
      <c r="I80" s="101"/>
      <c r="J80" s="28"/>
      <c r="K80" s="9"/>
      <c r="L80" s="9"/>
      <c r="M80" s="9"/>
      <c r="N80" s="3"/>
      <c r="P80" s="3"/>
      <c r="Q80" s="3"/>
      <c r="R80" s="3"/>
      <c r="S80" s="3"/>
      <c r="T80" s="3"/>
      <c r="U80" s="4"/>
      <c r="V80" s="3"/>
      <c r="W80" s="3"/>
      <c r="Z80" s="5"/>
      <c r="AA80" s="6"/>
    </row>
    <row r="81" spans="1:27" ht="24" customHeight="1">
      <c r="A81" s="73"/>
      <c r="B81" s="85">
        <v>2</v>
      </c>
      <c r="C81" s="86" t="s">
        <v>5</v>
      </c>
      <c r="D81" s="87">
        <v>57</v>
      </c>
      <c r="E81" s="86"/>
      <c r="F81" s="86"/>
      <c r="G81" s="86"/>
      <c r="H81" s="87">
        <v>8</v>
      </c>
      <c r="I81" s="102"/>
      <c r="J81" s="30"/>
      <c r="K81" s="8"/>
      <c r="L81" s="8"/>
      <c r="M81" s="8"/>
      <c r="O81" s="10"/>
      <c r="AA81" s="6"/>
    </row>
    <row r="82" spans="1:27" ht="21" customHeight="1">
      <c r="A82" s="73"/>
      <c r="B82" s="88">
        <v>3</v>
      </c>
      <c r="C82" s="89" t="s">
        <v>128</v>
      </c>
      <c r="D82" s="90">
        <v>56</v>
      </c>
      <c r="E82" s="89"/>
      <c r="F82" s="89"/>
      <c r="G82" s="89"/>
      <c r="H82" s="90">
        <v>6</v>
      </c>
      <c r="I82" s="103"/>
      <c r="J82" s="29"/>
      <c r="K82" s="8"/>
      <c r="L82" s="8"/>
      <c r="M82" s="8"/>
      <c r="O82" s="10"/>
      <c r="AA82" s="6"/>
    </row>
    <row r="83" spans="1:27" ht="18" customHeight="1">
      <c r="A83" s="73"/>
      <c r="B83" s="91">
        <v>4</v>
      </c>
      <c r="C83" s="92" t="s">
        <v>140</v>
      </c>
      <c r="D83" s="93">
        <v>54</v>
      </c>
      <c r="E83" s="92"/>
      <c r="F83" s="92"/>
      <c r="G83" s="92"/>
      <c r="H83" s="93">
        <v>8</v>
      </c>
      <c r="I83" s="104"/>
      <c r="J83" s="8"/>
      <c r="K83" s="8"/>
      <c r="L83" s="8"/>
      <c r="M83" s="8"/>
      <c r="O83" s="10"/>
    </row>
    <row r="84" spans="1:27" ht="18" customHeight="1">
      <c r="A84" s="73"/>
      <c r="B84" s="91">
        <v>5</v>
      </c>
      <c r="C84" s="92" t="s">
        <v>133</v>
      </c>
      <c r="D84" s="93">
        <v>53</v>
      </c>
      <c r="E84" s="92"/>
      <c r="F84" s="92"/>
      <c r="G84" s="92"/>
      <c r="H84" s="93">
        <v>9</v>
      </c>
      <c r="I84" s="104"/>
      <c r="J84" s="10"/>
      <c r="K84" s="8"/>
      <c r="L84" s="8"/>
      <c r="M84" s="8"/>
      <c r="O84" s="10"/>
    </row>
    <row r="85" spans="1:27" ht="18" customHeight="1">
      <c r="A85" s="73"/>
      <c r="B85" s="91">
        <v>5</v>
      </c>
      <c r="C85" s="92" t="s">
        <v>135</v>
      </c>
      <c r="D85" s="93">
        <v>53</v>
      </c>
      <c r="E85" s="92"/>
      <c r="F85" s="92"/>
      <c r="G85" s="92"/>
      <c r="H85" s="93">
        <v>6</v>
      </c>
      <c r="I85" s="104"/>
      <c r="J85" s="10"/>
      <c r="K85" s="8"/>
      <c r="L85" s="8"/>
      <c r="M85" s="8"/>
      <c r="O85" s="10"/>
    </row>
    <row r="86" spans="1:27" ht="18" customHeight="1">
      <c r="A86" s="73"/>
      <c r="B86" s="91">
        <v>6</v>
      </c>
      <c r="C86" s="92" t="s">
        <v>145</v>
      </c>
      <c r="D86" s="93">
        <v>52</v>
      </c>
      <c r="E86" s="92"/>
      <c r="F86" s="92"/>
      <c r="G86" s="92"/>
      <c r="H86" s="93">
        <v>6</v>
      </c>
      <c r="I86" s="104"/>
      <c r="J86" s="10"/>
      <c r="K86" s="8"/>
      <c r="L86" s="8"/>
      <c r="M86" s="8"/>
      <c r="O86" s="10"/>
    </row>
    <row r="87" spans="1:27" ht="18" customHeight="1">
      <c r="A87" s="73"/>
      <c r="B87" s="91">
        <v>7</v>
      </c>
      <c r="C87" s="92" t="s">
        <v>146</v>
      </c>
      <c r="D87" s="93">
        <v>51</v>
      </c>
      <c r="E87" s="92"/>
      <c r="F87" s="92"/>
      <c r="G87" s="92"/>
      <c r="H87" s="93">
        <v>5</v>
      </c>
      <c r="I87" s="104"/>
      <c r="J87" s="10"/>
      <c r="K87" s="8"/>
      <c r="L87" s="8"/>
      <c r="M87" s="8"/>
      <c r="O87" s="10"/>
    </row>
    <row r="88" spans="1:27" ht="18" customHeight="1">
      <c r="A88" s="73"/>
      <c r="B88" s="91">
        <v>8</v>
      </c>
      <c r="C88" s="92" t="s">
        <v>1</v>
      </c>
      <c r="D88" s="93">
        <v>50</v>
      </c>
      <c r="E88" s="92"/>
      <c r="F88" s="92"/>
      <c r="G88" s="92"/>
      <c r="H88" s="93">
        <v>6</v>
      </c>
      <c r="I88" s="104"/>
      <c r="J88" s="10"/>
      <c r="K88" s="8"/>
      <c r="L88" s="8"/>
      <c r="M88" s="8"/>
      <c r="O88" s="10"/>
    </row>
    <row r="89" spans="1:27" ht="18" customHeight="1">
      <c r="A89" s="73"/>
      <c r="B89" s="91">
        <v>9</v>
      </c>
      <c r="C89" s="92" t="s">
        <v>143</v>
      </c>
      <c r="D89" s="93">
        <v>43</v>
      </c>
      <c r="E89" s="92"/>
      <c r="F89" s="92"/>
      <c r="G89" s="92"/>
      <c r="H89" s="93">
        <v>4</v>
      </c>
      <c r="I89" s="104"/>
      <c r="J89" s="10"/>
      <c r="K89" s="31"/>
      <c r="L89" s="31"/>
      <c r="M89" s="8"/>
      <c r="O89" s="10"/>
    </row>
    <row r="90" spans="1:27" ht="18" customHeight="1">
      <c r="A90" s="73"/>
      <c r="B90" s="91">
        <v>9</v>
      </c>
      <c r="C90" s="92" t="s">
        <v>7</v>
      </c>
      <c r="D90" s="93">
        <v>43</v>
      </c>
      <c r="E90" s="92"/>
      <c r="F90" s="92"/>
      <c r="G90" s="92"/>
      <c r="H90" s="93">
        <v>3</v>
      </c>
      <c r="I90" s="104"/>
      <c r="J90" s="10"/>
      <c r="K90" s="31"/>
      <c r="L90" s="31"/>
      <c r="M90" s="8"/>
      <c r="O90" s="10"/>
    </row>
    <row r="91" spans="1:27" ht="18" customHeight="1">
      <c r="A91" s="73"/>
      <c r="B91" s="91">
        <v>10</v>
      </c>
      <c r="C91" s="92" t="s">
        <v>4</v>
      </c>
      <c r="D91" s="93">
        <v>40</v>
      </c>
      <c r="E91" s="92"/>
      <c r="F91" s="92"/>
      <c r="G91" s="92"/>
      <c r="H91" s="93">
        <v>4</v>
      </c>
      <c r="I91" s="104"/>
      <c r="J91" s="10"/>
      <c r="K91" s="31"/>
      <c r="L91" s="31"/>
      <c r="M91" s="8"/>
      <c r="O91" s="10"/>
    </row>
    <row r="92" spans="1:27" ht="15">
      <c r="B92" s="113"/>
      <c r="C92" s="114"/>
      <c r="D92" s="114"/>
      <c r="E92" s="114"/>
      <c r="F92" s="114"/>
      <c r="G92" s="114"/>
      <c r="H92" s="114"/>
      <c r="I92" s="104"/>
      <c r="J92" s="10"/>
      <c r="K92" s="31"/>
      <c r="L92" s="31"/>
      <c r="M92" s="8"/>
      <c r="O92" s="10"/>
    </row>
    <row r="93" spans="1:27" ht="15">
      <c r="B93" s="113"/>
      <c r="C93" s="114"/>
      <c r="D93" s="114"/>
      <c r="E93" s="114"/>
      <c r="F93" s="114"/>
      <c r="G93" s="114"/>
      <c r="H93" s="114"/>
      <c r="I93" s="104"/>
      <c r="J93" s="10"/>
      <c r="K93" s="31"/>
      <c r="L93" s="31"/>
      <c r="M93" s="8"/>
      <c r="O93" s="10"/>
    </row>
    <row r="94" spans="1:27" ht="15">
      <c r="B94" s="113"/>
      <c r="C94" s="114"/>
      <c r="D94" s="114"/>
      <c r="E94" s="114"/>
      <c r="F94" s="114"/>
      <c r="G94" s="114"/>
      <c r="H94" s="114"/>
      <c r="I94" s="104"/>
      <c r="J94" s="10"/>
      <c r="K94" s="31"/>
      <c r="L94" s="31"/>
      <c r="M94" s="8"/>
      <c r="O94" s="10"/>
    </row>
    <row r="95" spans="1:27" ht="15" hidden="1">
      <c r="B95" s="114"/>
      <c r="C95" s="114"/>
      <c r="D95" s="114"/>
      <c r="E95" s="114"/>
      <c r="F95" s="114"/>
      <c r="G95" s="114"/>
      <c r="H95" s="114"/>
      <c r="I95" s="104"/>
      <c r="J95" s="10"/>
      <c r="K95" s="31"/>
      <c r="L95" s="31"/>
      <c r="M95" s="8"/>
      <c r="O95" s="10"/>
    </row>
    <row r="96" spans="1:27" ht="15" hidden="1">
      <c r="B96" s="114"/>
      <c r="C96" s="114"/>
      <c r="D96" s="114"/>
      <c r="E96" s="114"/>
      <c r="F96" s="114"/>
      <c r="G96" s="114"/>
      <c r="H96" s="114"/>
      <c r="I96" s="104"/>
      <c r="J96" s="10"/>
      <c r="K96" s="31"/>
      <c r="L96" s="31"/>
      <c r="M96" s="8"/>
    </row>
    <row r="97" spans="2:13" ht="15" hidden="1">
      <c r="B97" s="114"/>
      <c r="C97" s="114"/>
      <c r="D97" s="114"/>
      <c r="E97" s="114"/>
      <c r="F97" s="114"/>
      <c r="G97" s="114"/>
      <c r="H97" s="114"/>
      <c r="I97" s="104"/>
      <c r="J97" s="10"/>
      <c r="K97" s="31"/>
      <c r="L97" s="31"/>
      <c r="M97" s="8"/>
    </row>
    <row r="98" spans="2:13" ht="15" hidden="1">
      <c r="B98" s="114"/>
      <c r="C98" s="115"/>
      <c r="D98" s="115"/>
      <c r="E98" s="115"/>
      <c r="F98" s="115"/>
      <c r="G98" s="115"/>
      <c r="H98" s="115"/>
      <c r="J98" s="42"/>
    </row>
    <row r="99" spans="2:13" ht="15" hidden="1">
      <c r="B99" s="114"/>
      <c r="C99" s="115"/>
      <c r="D99" s="115"/>
      <c r="E99" s="115"/>
      <c r="F99" s="115"/>
      <c r="G99" s="115"/>
      <c r="H99" s="115"/>
      <c r="J99" s="42"/>
    </row>
    <row r="100" spans="2:13" ht="15" hidden="1">
      <c r="B100" s="115"/>
      <c r="C100" s="115"/>
      <c r="D100" s="115"/>
      <c r="E100" s="115"/>
      <c r="F100" s="115"/>
      <c r="G100" s="115"/>
      <c r="H100" s="115"/>
      <c r="J100" s="42"/>
    </row>
    <row r="101" spans="2:13" hidden="1">
      <c r="B101" s="42"/>
      <c r="C101" s="42"/>
      <c r="D101" s="42"/>
      <c r="E101" s="42"/>
      <c r="F101" s="42"/>
      <c r="G101" s="42"/>
      <c r="H101" s="42"/>
      <c r="J101" s="42"/>
    </row>
    <row r="102" spans="2:13" hidden="1">
      <c r="B102" s="42"/>
      <c r="C102" s="42"/>
      <c r="D102" s="42"/>
      <c r="E102" s="42"/>
      <c r="F102" s="42"/>
      <c r="G102" s="42"/>
      <c r="H102" s="42"/>
      <c r="J102" s="42"/>
    </row>
    <row r="103" spans="2:13" hidden="1">
      <c r="B103" s="42"/>
      <c r="C103" s="42"/>
      <c r="D103" s="42"/>
      <c r="E103" s="42"/>
      <c r="F103" s="42"/>
      <c r="G103" s="42"/>
    </row>
    <row r="104" spans="2:13" hidden="1">
      <c r="B104" s="42"/>
      <c r="C104" s="42"/>
      <c r="D104" s="42"/>
      <c r="E104" s="42"/>
      <c r="F104" s="42"/>
      <c r="G104" s="42"/>
    </row>
    <row r="105" spans="2:13" hidden="1">
      <c r="B105" s="42"/>
      <c r="C105" s="42"/>
      <c r="D105" s="42"/>
      <c r="E105" s="42"/>
      <c r="F105" s="42"/>
      <c r="G105" s="42"/>
    </row>
    <row r="106" spans="2:13" hidden="1">
      <c r="B106" s="42"/>
      <c r="C106" s="42"/>
      <c r="D106" s="42"/>
      <c r="E106" s="42"/>
      <c r="F106" s="42"/>
      <c r="G106" s="42"/>
    </row>
    <row r="107" spans="2:13" hidden="1">
      <c r="B107" s="42"/>
      <c r="C107" s="42"/>
      <c r="D107" s="42"/>
      <c r="E107" s="42"/>
      <c r="F107" s="42"/>
      <c r="G107" s="42"/>
    </row>
    <row r="108" spans="2:13" hidden="1">
      <c r="B108" s="42"/>
      <c r="C108" s="42"/>
      <c r="D108" s="42"/>
      <c r="E108" s="42"/>
      <c r="F108" s="42"/>
      <c r="G108" s="42"/>
    </row>
    <row r="109" spans="2:13"/>
    <row r="110" spans="2:13"/>
    <row r="111" spans="2:13"/>
    <row r="112" spans="2:13"/>
    <row r="113"/>
    <row r="114"/>
    <row r="115"/>
    <row r="116"/>
    <row r="117"/>
    <row r="118"/>
    <row r="119"/>
    <row r="120"/>
    <row r="121"/>
    <row r="122"/>
    <row r="123"/>
    <row r="124"/>
    <row r="125"/>
    <row r="126"/>
    <row r="127"/>
    <row r="128"/>
    <row r="129"/>
    <row r="130"/>
    <row r="131"/>
    <row r="132"/>
    <row r="133"/>
    <row r="134"/>
    <row r="135"/>
    <row r="136"/>
    <row r="137"/>
    <row r="138"/>
    <row r="139"/>
    <row r="140"/>
    <row r="141"/>
    <row r="142"/>
    <row r="143"/>
    <row r="144"/>
    <row r="145"/>
    <row r="146"/>
    <row r="147"/>
    <row r="148"/>
    <row r="149"/>
    <row r="150"/>
    <row r="151"/>
    <row r="152"/>
    <row r="153"/>
    <row r="154"/>
  </sheetData>
  <sheetProtection sheet="1" objects="1" scenarios="1"/>
  <sortState xmlns:xlrd2="http://schemas.microsoft.com/office/spreadsheetml/2017/richdata2" ref="A53:C70">
    <sortCondition ref="A53:A72"/>
  </sortState>
  <mergeCells count="17">
    <mergeCell ref="BC2:BF2"/>
    <mergeCell ref="AX2:BA2"/>
    <mergeCell ref="AS2:AV2"/>
    <mergeCell ref="J2:M2"/>
    <mergeCell ref="O2:R2"/>
    <mergeCell ref="T2:W2"/>
    <mergeCell ref="AI2:AL2"/>
    <mergeCell ref="CB2:CE2"/>
    <mergeCell ref="BH2:BK2"/>
    <mergeCell ref="BM2:BP2"/>
    <mergeCell ref="BR2:BU2"/>
    <mergeCell ref="BW2:BZ2"/>
    <mergeCell ref="AN2:AQ2"/>
    <mergeCell ref="Y2:AB2"/>
    <mergeCell ref="D2:F2"/>
    <mergeCell ref="AD2:AG2"/>
    <mergeCell ref="B2:C2"/>
  </mergeCells>
  <phoneticPr fontId="2" type="noConversion"/>
  <conditionalFormatting sqref="K80:K94">
    <cfRule type="cellIs" dxfId="6" priority="15" stopIfTrue="1" operator="equal">
      <formula>0</formula>
    </cfRule>
  </conditionalFormatting>
  <conditionalFormatting sqref="M3:M76 M78:CE78 R3:R76 W3:W76 AB3:AB76 AG3:AG76 AL3:AL76 AQ3:AQ76 AV3:AV76 BA3:BA76 BF3:BF76 BK3:BK76 BP3:BP76 BU3:BU76 BZ3:BZ76 CE3:CE76">
    <cfRule type="cellIs" dxfId="5" priority="16" stopIfTrue="1" operator="equal">
      <formula>3</formula>
    </cfRule>
  </conditionalFormatting>
  <conditionalFormatting sqref="J95:J97">
    <cfRule type="cellIs" dxfId="4" priority="17" stopIfTrue="1" operator="equal">
      <formula>0</formula>
    </cfRule>
  </conditionalFormatting>
  <conditionalFormatting sqref="I80:I94">
    <cfRule type="cellIs" dxfId="3" priority="19" stopIfTrue="1" operator="equal">
      <formula>0</formula>
    </cfRule>
  </conditionalFormatting>
  <conditionalFormatting sqref="J80:J94">
    <cfRule type="cellIs" dxfId="2" priority="20" stopIfTrue="1" operator="equal">
      <formula>0</formula>
    </cfRule>
  </conditionalFormatting>
  <conditionalFormatting sqref="J53:J55">
    <cfRule type="cellIs" dxfId="1" priority="21" stopIfTrue="1" operator="equal">
      <formula>0</formula>
    </cfRule>
  </conditionalFormatting>
  <pageMargins left="0.75" right="0.75" top="1" bottom="1" header="0.5" footer="0.5"/>
  <pageSetup paperSize="9" scale="49" orientation="landscape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47D5A7-5571-464B-9F17-5C94341D8965}">
  <sheetPr codeName="Arkusz19"/>
  <dimension ref="A1:N60"/>
  <sheetViews>
    <sheetView workbookViewId="0">
      <selection activeCell="F39" sqref="F39"/>
    </sheetView>
  </sheetViews>
  <sheetFormatPr defaultRowHeight="13.2"/>
  <cols>
    <col min="1" max="1" width="8.6640625" bestFit="1" customWidth="1"/>
    <col min="2" max="2" width="9.5546875" bestFit="1" customWidth="1"/>
    <col min="3" max="3" width="20.88671875" bestFit="1" customWidth="1"/>
    <col min="4" max="4" width="8.6640625" bestFit="1" customWidth="1"/>
    <col min="5" max="5" width="13.21875" bestFit="1" customWidth="1"/>
    <col min="6" max="6" width="9.5546875" bestFit="1" customWidth="1"/>
    <col min="7" max="7" width="9.77734375" bestFit="1" customWidth="1"/>
    <col min="8" max="8" width="10.44140625" bestFit="1" customWidth="1"/>
    <col min="9" max="9" width="10" bestFit="1" customWidth="1"/>
    <col min="10" max="10" width="8.5546875" bestFit="1" customWidth="1"/>
    <col min="11" max="11" width="9.33203125" bestFit="1" customWidth="1"/>
    <col min="13" max="13" width="11.21875" customWidth="1"/>
    <col min="14" max="14" width="20.44140625" customWidth="1"/>
  </cols>
  <sheetData>
    <row r="1" spans="1:14">
      <c r="A1" t="s">
        <v>31</v>
      </c>
      <c r="B1" t="s">
        <v>3</v>
      </c>
      <c r="C1" t="s">
        <v>12</v>
      </c>
      <c r="D1" t="s">
        <v>26</v>
      </c>
      <c r="E1" t="s">
        <v>13</v>
      </c>
      <c r="F1" t="s">
        <v>14</v>
      </c>
      <c r="G1" t="s">
        <v>15</v>
      </c>
      <c r="H1" t="s">
        <v>27</v>
      </c>
      <c r="I1" t="s">
        <v>28</v>
      </c>
      <c r="J1" t="s">
        <v>29</v>
      </c>
      <c r="K1" t="s">
        <v>6</v>
      </c>
    </row>
    <row r="2" spans="1:14">
      <c r="A2" t="s">
        <v>16</v>
      </c>
      <c r="B2">
        <v>1</v>
      </c>
      <c r="C2" t="s">
        <v>235</v>
      </c>
      <c r="D2">
        <v>3</v>
      </c>
      <c r="E2">
        <v>3</v>
      </c>
      <c r="F2">
        <v>0</v>
      </c>
      <c r="G2">
        <v>0</v>
      </c>
      <c r="H2">
        <v>6</v>
      </c>
      <c r="I2">
        <v>0</v>
      </c>
      <c r="J2" t="s">
        <v>215</v>
      </c>
      <c r="K2">
        <v>9</v>
      </c>
    </row>
    <row r="3" spans="1:14" ht="18.600000000000001">
      <c r="A3" t="s">
        <v>16</v>
      </c>
      <c r="B3">
        <v>2</v>
      </c>
      <c r="C3" t="s">
        <v>23</v>
      </c>
      <c r="D3">
        <v>3</v>
      </c>
      <c r="E3">
        <v>1</v>
      </c>
      <c r="F3">
        <v>1</v>
      </c>
      <c r="G3">
        <v>1</v>
      </c>
      <c r="H3">
        <v>2</v>
      </c>
      <c r="I3">
        <v>3</v>
      </c>
      <c r="J3" t="s">
        <v>199</v>
      </c>
      <c r="K3">
        <v>4</v>
      </c>
      <c r="N3" s="105" t="s">
        <v>132</v>
      </c>
    </row>
    <row r="4" spans="1:14">
      <c r="A4" t="s">
        <v>16</v>
      </c>
      <c r="B4">
        <v>3</v>
      </c>
      <c r="C4" t="s">
        <v>24</v>
      </c>
      <c r="D4">
        <v>3</v>
      </c>
      <c r="E4">
        <v>1</v>
      </c>
      <c r="F4">
        <v>0</v>
      </c>
      <c r="G4">
        <v>2</v>
      </c>
      <c r="H4">
        <v>2</v>
      </c>
      <c r="I4">
        <v>3</v>
      </c>
      <c r="J4" t="s">
        <v>199</v>
      </c>
      <c r="K4">
        <v>3</v>
      </c>
    </row>
    <row r="5" spans="1:14">
      <c r="A5" t="s">
        <v>16</v>
      </c>
      <c r="B5">
        <v>4</v>
      </c>
      <c r="C5" t="s">
        <v>236</v>
      </c>
      <c r="D5">
        <v>3</v>
      </c>
      <c r="E5">
        <v>0</v>
      </c>
      <c r="F5">
        <v>1</v>
      </c>
      <c r="G5">
        <v>2</v>
      </c>
      <c r="H5">
        <v>2</v>
      </c>
      <c r="I5">
        <v>6</v>
      </c>
      <c r="J5" t="s">
        <v>217</v>
      </c>
      <c r="K5">
        <v>1</v>
      </c>
    </row>
    <row r="7" spans="1:14">
      <c r="A7" t="s">
        <v>18</v>
      </c>
      <c r="B7">
        <v>1</v>
      </c>
      <c r="C7" t="s">
        <v>34</v>
      </c>
      <c r="D7">
        <v>3</v>
      </c>
      <c r="E7">
        <v>2</v>
      </c>
      <c r="F7">
        <v>1</v>
      </c>
      <c r="G7">
        <v>0</v>
      </c>
      <c r="H7">
        <v>7</v>
      </c>
      <c r="I7">
        <v>3</v>
      </c>
      <c r="J7" t="s">
        <v>220</v>
      </c>
      <c r="K7">
        <v>7</v>
      </c>
    </row>
    <row r="8" spans="1:14">
      <c r="A8" t="s">
        <v>18</v>
      </c>
      <c r="B8">
        <v>2</v>
      </c>
      <c r="C8" t="s">
        <v>237</v>
      </c>
      <c r="D8">
        <v>3</v>
      </c>
      <c r="E8">
        <v>1</v>
      </c>
      <c r="F8">
        <v>1</v>
      </c>
      <c r="G8">
        <v>1</v>
      </c>
      <c r="H8">
        <v>8</v>
      </c>
      <c r="I8">
        <v>3</v>
      </c>
      <c r="J8" t="s">
        <v>218</v>
      </c>
      <c r="K8">
        <v>4</v>
      </c>
    </row>
    <row r="9" spans="1:14">
      <c r="A9" t="s">
        <v>18</v>
      </c>
      <c r="B9">
        <v>3</v>
      </c>
      <c r="C9" t="s">
        <v>233</v>
      </c>
      <c r="D9">
        <v>3</v>
      </c>
      <c r="E9">
        <v>1</v>
      </c>
      <c r="F9">
        <v>1</v>
      </c>
      <c r="G9">
        <v>1</v>
      </c>
      <c r="H9">
        <v>5</v>
      </c>
      <c r="I9">
        <v>6</v>
      </c>
      <c r="J9" t="s">
        <v>199</v>
      </c>
      <c r="K9">
        <v>4</v>
      </c>
    </row>
    <row r="10" spans="1:14">
      <c r="A10" t="s">
        <v>18</v>
      </c>
      <c r="B10">
        <v>4</v>
      </c>
      <c r="C10" t="s">
        <v>238</v>
      </c>
      <c r="D10">
        <v>3</v>
      </c>
      <c r="E10">
        <v>0</v>
      </c>
      <c r="F10">
        <v>1</v>
      </c>
      <c r="G10">
        <v>2</v>
      </c>
      <c r="H10">
        <v>2</v>
      </c>
      <c r="I10">
        <v>10</v>
      </c>
      <c r="J10" t="s">
        <v>221</v>
      </c>
      <c r="K10">
        <v>1</v>
      </c>
    </row>
    <row r="12" spans="1:14">
      <c r="A12" t="s">
        <v>19</v>
      </c>
      <c r="B12">
        <v>1</v>
      </c>
      <c r="C12" t="s">
        <v>35</v>
      </c>
      <c r="D12">
        <v>3</v>
      </c>
      <c r="E12">
        <v>2</v>
      </c>
      <c r="F12">
        <v>1</v>
      </c>
      <c r="G12">
        <v>0</v>
      </c>
      <c r="H12">
        <v>7</v>
      </c>
      <c r="I12">
        <v>1</v>
      </c>
      <c r="J12" t="s">
        <v>215</v>
      </c>
      <c r="K12">
        <v>7</v>
      </c>
    </row>
    <row r="13" spans="1:14">
      <c r="A13" t="s">
        <v>19</v>
      </c>
      <c r="B13">
        <v>2</v>
      </c>
      <c r="C13" t="s">
        <v>36</v>
      </c>
      <c r="D13">
        <v>3</v>
      </c>
      <c r="E13">
        <v>2</v>
      </c>
      <c r="F13">
        <v>1</v>
      </c>
      <c r="G13">
        <v>0</v>
      </c>
      <c r="H13">
        <v>6</v>
      </c>
      <c r="I13">
        <v>3</v>
      </c>
      <c r="J13" t="s">
        <v>201</v>
      </c>
      <c r="K13">
        <v>7</v>
      </c>
    </row>
    <row r="14" spans="1:14">
      <c r="A14" t="s">
        <v>19</v>
      </c>
      <c r="B14">
        <v>3</v>
      </c>
      <c r="C14" t="s">
        <v>38</v>
      </c>
      <c r="D14">
        <v>3</v>
      </c>
      <c r="E14">
        <v>1</v>
      </c>
      <c r="F14">
        <v>0</v>
      </c>
      <c r="G14">
        <v>2</v>
      </c>
      <c r="H14">
        <v>1</v>
      </c>
      <c r="I14">
        <v>4</v>
      </c>
      <c r="J14" t="s">
        <v>202</v>
      </c>
      <c r="K14">
        <v>3</v>
      </c>
    </row>
    <row r="15" spans="1:14">
      <c r="A15" t="s">
        <v>19</v>
      </c>
      <c r="B15">
        <v>4</v>
      </c>
      <c r="C15" t="s">
        <v>37</v>
      </c>
      <c r="D15">
        <v>3</v>
      </c>
      <c r="E15">
        <v>0</v>
      </c>
      <c r="F15">
        <v>0</v>
      </c>
      <c r="G15">
        <v>3</v>
      </c>
      <c r="H15">
        <v>2</v>
      </c>
      <c r="I15">
        <v>8</v>
      </c>
      <c r="J15" t="s">
        <v>216</v>
      </c>
      <c r="K15">
        <v>0</v>
      </c>
    </row>
    <row r="17" spans="1:11">
      <c r="A17" t="s">
        <v>17</v>
      </c>
      <c r="B17">
        <v>1</v>
      </c>
      <c r="C17" t="s">
        <v>239</v>
      </c>
      <c r="D17">
        <v>3</v>
      </c>
      <c r="E17">
        <v>2</v>
      </c>
      <c r="F17">
        <v>0</v>
      </c>
      <c r="G17">
        <v>1</v>
      </c>
      <c r="H17">
        <v>8</v>
      </c>
      <c r="I17">
        <v>4</v>
      </c>
      <c r="J17" t="s">
        <v>220</v>
      </c>
      <c r="K17">
        <v>6</v>
      </c>
    </row>
    <row r="18" spans="1:11">
      <c r="A18" t="s">
        <v>17</v>
      </c>
      <c r="B18">
        <v>2</v>
      </c>
      <c r="C18" t="s">
        <v>40</v>
      </c>
      <c r="D18">
        <v>3</v>
      </c>
      <c r="E18">
        <v>1</v>
      </c>
      <c r="F18">
        <v>1</v>
      </c>
      <c r="G18">
        <v>1</v>
      </c>
      <c r="H18">
        <v>2</v>
      </c>
      <c r="I18">
        <v>2</v>
      </c>
      <c r="J18" t="s">
        <v>30</v>
      </c>
      <c r="K18">
        <v>4</v>
      </c>
    </row>
    <row r="19" spans="1:11">
      <c r="A19" t="s">
        <v>17</v>
      </c>
      <c r="B19">
        <v>3</v>
      </c>
      <c r="C19" t="s">
        <v>39</v>
      </c>
      <c r="D19">
        <v>3</v>
      </c>
      <c r="E19">
        <v>1</v>
      </c>
      <c r="F19">
        <v>1</v>
      </c>
      <c r="G19">
        <v>1</v>
      </c>
      <c r="H19">
        <v>2</v>
      </c>
      <c r="I19">
        <v>4</v>
      </c>
      <c r="J19" t="s">
        <v>200</v>
      </c>
      <c r="K19">
        <v>4</v>
      </c>
    </row>
    <row r="20" spans="1:11">
      <c r="A20" t="s">
        <v>17</v>
      </c>
      <c r="B20">
        <v>4</v>
      </c>
      <c r="C20" t="s">
        <v>240</v>
      </c>
      <c r="D20">
        <v>3</v>
      </c>
      <c r="E20">
        <v>1</v>
      </c>
      <c r="F20">
        <v>0</v>
      </c>
      <c r="G20">
        <v>2</v>
      </c>
      <c r="H20">
        <v>3</v>
      </c>
      <c r="I20">
        <v>5</v>
      </c>
      <c r="J20" t="s">
        <v>200</v>
      </c>
      <c r="K20">
        <v>3</v>
      </c>
    </row>
    <row r="22" spans="1:11">
      <c r="A22" t="s">
        <v>20</v>
      </c>
      <c r="B22">
        <v>1</v>
      </c>
      <c r="C22" t="s">
        <v>227</v>
      </c>
      <c r="D22">
        <v>3</v>
      </c>
      <c r="E22">
        <v>2</v>
      </c>
      <c r="F22">
        <v>0</v>
      </c>
      <c r="G22">
        <v>1</v>
      </c>
      <c r="H22">
        <v>10</v>
      </c>
      <c r="I22">
        <v>4</v>
      </c>
      <c r="J22" t="s">
        <v>215</v>
      </c>
      <c r="K22">
        <v>6</v>
      </c>
    </row>
    <row r="23" spans="1:11">
      <c r="A23" t="s">
        <v>20</v>
      </c>
      <c r="B23">
        <v>2</v>
      </c>
      <c r="C23" t="s">
        <v>42</v>
      </c>
      <c r="D23">
        <v>3</v>
      </c>
      <c r="E23">
        <v>2</v>
      </c>
      <c r="F23">
        <v>0</v>
      </c>
      <c r="G23">
        <v>1</v>
      </c>
      <c r="H23">
        <v>4</v>
      </c>
      <c r="I23">
        <v>2</v>
      </c>
      <c r="J23" t="s">
        <v>197</v>
      </c>
      <c r="K23">
        <v>6</v>
      </c>
    </row>
    <row r="24" spans="1:11">
      <c r="A24" t="s">
        <v>20</v>
      </c>
      <c r="B24">
        <v>3</v>
      </c>
      <c r="C24" t="s">
        <v>43</v>
      </c>
      <c r="D24">
        <v>3</v>
      </c>
      <c r="E24">
        <v>1</v>
      </c>
      <c r="F24">
        <v>1</v>
      </c>
      <c r="G24">
        <v>1</v>
      </c>
      <c r="H24">
        <v>2</v>
      </c>
      <c r="I24">
        <v>2</v>
      </c>
      <c r="J24" t="s">
        <v>30</v>
      </c>
      <c r="K24">
        <v>4</v>
      </c>
    </row>
    <row r="25" spans="1:11">
      <c r="A25" t="s">
        <v>20</v>
      </c>
      <c r="B25">
        <v>4</v>
      </c>
      <c r="C25" t="s">
        <v>41</v>
      </c>
      <c r="D25">
        <v>3</v>
      </c>
      <c r="E25">
        <v>0</v>
      </c>
      <c r="F25">
        <v>1</v>
      </c>
      <c r="G25">
        <v>2</v>
      </c>
      <c r="H25">
        <v>1</v>
      </c>
      <c r="I25">
        <v>9</v>
      </c>
      <c r="J25" t="s">
        <v>221</v>
      </c>
      <c r="K25">
        <v>1</v>
      </c>
    </row>
    <row r="27" spans="1:11">
      <c r="A27" t="s">
        <v>21</v>
      </c>
      <c r="B27">
        <v>1</v>
      </c>
      <c r="C27" t="s">
        <v>44</v>
      </c>
      <c r="D27">
        <v>3</v>
      </c>
      <c r="E27">
        <v>2</v>
      </c>
      <c r="F27">
        <v>1</v>
      </c>
      <c r="G27">
        <v>0</v>
      </c>
      <c r="H27">
        <v>10</v>
      </c>
      <c r="I27">
        <v>4</v>
      </c>
      <c r="J27" t="s">
        <v>215</v>
      </c>
      <c r="K27">
        <v>7</v>
      </c>
    </row>
    <row r="28" spans="1:11">
      <c r="A28" t="s">
        <v>21</v>
      </c>
      <c r="B28">
        <v>2</v>
      </c>
      <c r="C28" t="s">
        <v>45</v>
      </c>
      <c r="D28">
        <v>3</v>
      </c>
      <c r="E28">
        <v>1</v>
      </c>
      <c r="F28">
        <v>2</v>
      </c>
      <c r="G28">
        <v>0</v>
      </c>
      <c r="H28">
        <v>7</v>
      </c>
      <c r="I28">
        <v>3</v>
      </c>
      <c r="J28" t="s">
        <v>220</v>
      </c>
      <c r="K28">
        <v>5</v>
      </c>
    </row>
    <row r="29" spans="1:11">
      <c r="A29" t="s">
        <v>21</v>
      </c>
      <c r="B29">
        <v>3</v>
      </c>
      <c r="C29" t="s">
        <v>46</v>
      </c>
      <c r="D29">
        <v>3</v>
      </c>
      <c r="E29">
        <v>1</v>
      </c>
      <c r="F29">
        <v>1</v>
      </c>
      <c r="G29">
        <v>1</v>
      </c>
      <c r="H29">
        <v>7</v>
      </c>
      <c r="I29">
        <v>7</v>
      </c>
      <c r="J29" t="s">
        <v>30</v>
      </c>
      <c r="K29">
        <v>4</v>
      </c>
    </row>
    <row r="30" spans="1:11">
      <c r="A30" t="s">
        <v>21</v>
      </c>
      <c r="B30">
        <v>4</v>
      </c>
      <c r="C30" t="s">
        <v>241</v>
      </c>
      <c r="D30">
        <v>3</v>
      </c>
      <c r="E30">
        <v>0</v>
      </c>
      <c r="F30">
        <v>0</v>
      </c>
      <c r="G30">
        <v>3</v>
      </c>
      <c r="H30">
        <v>2</v>
      </c>
      <c r="I30">
        <v>12</v>
      </c>
      <c r="J30" t="s">
        <v>242</v>
      </c>
      <c r="K30">
        <v>0</v>
      </c>
    </row>
    <row r="32" spans="1:11">
      <c r="A32" t="s">
        <v>70</v>
      </c>
      <c r="B32">
        <v>1</v>
      </c>
      <c r="C32" t="s">
        <v>47</v>
      </c>
      <c r="D32">
        <v>3</v>
      </c>
      <c r="E32">
        <v>1</v>
      </c>
      <c r="F32">
        <v>2</v>
      </c>
      <c r="G32">
        <v>0</v>
      </c>
      <c r="H32">
        <v>6</v>
      </c>
      <c r="I32">
        <v>2</v>
      </c>
      <c r="J32" t="s">
        <v>220</v>
      </c>
      <c r="K32">
        <v>5</v>
      </c>
    </row>
    <row r="33" spans="1:11">
      <c r="A33" t="s">
        <v>70</v>
      </c>
      <c r="B33">
        <v>2</v>
      </c>
      <c r="C33" t="s">
        <v>48</v>
      </c>
      <c r="D33">
        <v>3</v>
      </c>
      <c r="E33">
        <v>1</v>
      </c>
      <c r="F33">
        <v>2</v>
      </c>
      <c r="G33">
        <v>0</v>
      </c>
      <c r="H33">
        <v>5</v>
      </c>
      <c r="I33">
        <v>3</v>
      </c>
      <c r="J33" t="s">
        <v>197</v>
      </c>
      <c r="K33">
        <v>5</v>
      </c>
    </row>
    <row r="34" spans="1:11">
      <c r="A34" t="s">
        <v>70</v>
      </c>
      <c r="B34">
        <v>3</v>
      </c>
      <c r="C34" t="s">
        <v>49</v>
      </c>
      <c r="D34">
        <v>3</v>
      </c>
      <c r="E34">
        <v>0</v>
      </c>
      <c r="F34">
        <v>3</v>
      </c>
      <c r="G34">
        <v>0</v>
      </c>
      <c r="H34">
        <v>3</v>
      </c>
      <c r="I34">
        <v>3</v>
      </c>
      <c r="J34" t="s">
        <v>30</v>
      </c>
      <c r="K34">
        <v>3</v>
      </c>
    </row>
    <row r="35" spans="1:11">
      <c r="A35" t="s">
        <v>70</v>
      </c>
      <c r="B35">
        <v>4</v>
      </c>
      <c r="C35" t="s">
        <v>50</v>
      </c>
      <c r="D35">
        <v>3</v>
      </c>
      <c r="E35">
        <v>0</v>
      </c>
      <c r="F35">
        <v>1</v>
      </c>
      <c r="G35">
        <v>2</v>
      </c>
      <c r="H35">
        <v>4</v>
      </c>
      <c r="I35">
        <v>10</v>
      </c>
      <c r="J35" t="s">
        <v>216</v>
      </c>
      <c r="K35">
        <v>1</v>
      </c>
    </row>
    <row r="37" spans="1:11">
      <c r="A37" t="s">
        <v>71</v>
      </c>
      <c r="B37">
        <v>1</v>
      </c>
      <c r="C37" t="s">
        <v>51</v>
      </c>
      <c r="D37">
        <v>3</v>
      </c>
      <c r="E37">
        <v>2</v>
      </c>
      <c r="F37">
        <v>1</v>
      </c>
      <c r="G37">
        <v>0</v>
      </c>
      <c r="H37">
        <v>5</v>
      </c>
      <c r="I37">
        <v>0</v>
      </c>
      <c r="J37" t="s">
        <v>218</v>
      </c>
      <c r="K37">
        <v>7</v>
      </c>
    </row>
    <row r="38" spans="1:11">
      <c r="A38" t="s">
        <v>71</v>
      </c>
      <c r="B38">
        <v>2</v>
      </c>
      <c r="C38" t="s">
        <v>52</v>
      </c>
      <c r="D38">
        <v>3</v>
      </c>
      <c r="E38">
        <v>0</v>
      </c>
      <c r="F38">
        <v>3</v>
      </c>
      <c r="G38">
        <v>0</v>
      </c>
      <c r="H38">
        <v>2</v>
      </c>
      <c r="I38">
        <v>2</v>
      </c>
      <c r="J38" t="s">
        <v>30</v>
      </c>
      <c r="K38">
        <v>3</v>
      </c>
    </row>
    <row r="39" spans="1:11">
      <c r="A39" t="s">
        <v>71</v>
      </c>
      <c r="B39">
        <v>3</v>
      </c>
      <c r="C39" t="s">
        <v>54</v>
      </c>
      <c r="D39">
        <v>3</v>
      </c>
      <c r="E39">
        <v>0</v>
      </c>
      <c r="F39">
        <v>2</v>
      </c>
      <c r="G39">
        <v>1</v>
      </c>
      <c r="H39">
        <v>3</v>
      </c>
      <c r="I39">
        <v>4</v>
      </c>
      <c r="J39" t="s">
        <v>199</v>
      </c>
      <c r="K39">
        <v>2</v>
      </c>
    </row>
    <row r="40" spans="1:11">
      <c r="A40" t="s">
        <v>71</v>
      </c>
      <c r="B40">
        <v>4</v>
      </c>
      <c r="C40" t="s">
        <v>53</v>
      </c>
      <c r="D40">
        <v>3</v>
      </c>
      <c r="E40">
        <v>0</v>
      </c>
      <c r="F40">
        <v>2</v>
      </c>
      <c r="G40">
        <v>1</v>
      </c>
      <c r="H40">
        <v>1</v>
      </c>
      <c r="I40">
        <v>5</v>
      </c>
      <c r="J40" t="s">
        <v>217</v>
      </c>
      <c r="K40">
        <v>2</v>
      </c>
    </row>
    <row r="42" spans="1:11">
      <c r="A42" t="s">
        <v>72</v>
      </c>
      <c r="B42">
        <v>1</v>
      </c>
      <c r="C42" t="s">
        <v>231</v>
      </c>
      <c r="D42">
        <v>3</v>
      </c>
      <c r="E42">
        <v>3</v>
      </c>
      <c r="F42">
        <v>0</v>
      </c>
      <c r="G42">
        <v>0</v>
      </c>
      <c r="H42">
        <v>10</v>
      </c>
      <c r="I42">
        <v>2</v>
      </c>
      <c r="J42" t="s">
        <v>243</v>
      </c>
      <c r="K42">
        <v>9</v>
      </c>
    </row>
    <row r="43" spans="1:11">
      <c r="A43" t="s">
        <v>72</v>
      </c>
      <c r="B43">
        <v>2</v>
      </c>
      <c r="C43" t="s">
        <v>232</v>
      </c>
      <c r="D43">
        <v>3</v>
      </c>
      <c r="E43">
        <v>2</v>
      </c>
      <c r="F43">
        <v>0</v>
      </c>
      <c r="G43">
        <v>1</v>
      </c>
      <c r="H43">
        <v>8</v>
      </c>
      <c r="I43">
        <v>7</v>
      </c>
      <c r="J43" t="s">
        <v>198</v>
      </c>
      <c r="K43">
        <v>6</v>
      </c>
    </row>
    <row r="44" spans="1:11">
      <c r="A44" t="s">
        <v>72</v>
      </c>
      <c r="B44">
        <v>3</v>
      </c>
      <c r="C44" t="s">
        <v>55</v>
      </c>
      <c r="D44">
        <v>3</v>
      </c>
      <c r="E44">
        <v>1</v>
      </c>
      <c r="F44">
        <v>0</v>
      </c>
      <c r="G44">
        <v>2</v>
      </c>
      <c r="H44">
        <v>8</v>
      </c>
      <c r="I44">
        <v>6</v>
      </c>
      <c r="J44" t="s">
        <v>197</v>
      </c>
      <c r="K44">
        <v>3</v>
      </c>
    </row>
    <row r="45" spans="1:11">
      <c r="A45" t="s">
        <v>72</v>
      </c>
      <c r="B45">
        <v>4</v>
      </c>
      <c r="C45" t="s">
        <v>56</v>
      </c>
      <c r="D45">
        <v>3</v>
      </c>
      <c r="E45">
        <v>0</v>
      </c>
      <c r="F45">
        <v>0</v>
      </c>
      <c r="G45">
        <v>3</v>
      </c>
      <c r="H45">
        <v>1</v>
      </c>
      <c r="I45">
        <v>12</v>
      </c>
      <c r="J45" t="s">
        <v>244</v>
      </c>
      <c r="K45">
        <v>0</v>
      </c>
    </row>
    <row r="47" spans="1:11">
      <c r="A47" t="s">
        <v>73</v>
      </c>
      <c r="B47">
        <v>1</v>
      </c>
      <c r="C47" t="s">
        <v>57</v>
      </c>
      <c r="D47">
        <v>3</v>
      </c>
      <c r="E47">
        <v>3</v>
      </c>
      <c r="F47">
        <v>0</v>
      </c>
      <c r="G47">
        <v>0</v>
      </c>
      <c r="H47">
        <v>8</v>
      </c>
      <c r="I47">
        <v>1</v>
      </c>
      <c r="J47" t="s">
        <v>219</v>
      </c>
      <c r="K47">
        <v>9</v>
      </c>
    </row>
    <row r="48" spans="1:11">
      <c r="A48" t="s">
        <v>73</v>
      </c>
      <c r="B48">
        <v>2</v>
      </c>
      <c r="C48" t="s">
        <v>8</v>
      </c>
      <c r="D48">
        <v>3</v>
      </c>
      <c r="E48">
        <v>1</v>
      </c>
      <c r="F48">
        <v>1</v>
      </c>
      <c r="G48">
        <v>1</v>
      </c>
      <c r="H48">
        <v>6</v>
      </c>
      <c r="I48">
        <v>6</v>
      </c>
      <c r="J48" t="s">
        <v>30</v>
      </c>
      <c r="K48">
        <v>4</v>
      </c>
    </row>
    <row r="49" spans="1:11">
      <c r="A49" t="s">
        <v>73</v>
      </c>
      <c r="B49">
        <v>3</v>
      </c>
      <c r="C49" t="s">
        <v>58</v>
      </c>
      <c r="D49">
        <v>3</v>
      </c>
      <c r="E49">
        <v>1</v>
      </c>
      <c r="F49">
        <v>1</v>
      </c>
      <c r="G49">
        <v>1</v>
      </c>
      <c r="H49">
        <v>5</v>
      </c>
      <c r="I49">
        <v>7</v>
      </c>
      <c r="J49" t="s">
        <v>200</v>
      </c>
      <c r="K49">
        <v>4</v>
      </c>
    </row>
    <row r="50" spans="1:11">
      <c r="A50" t="s">
        <v>73</v>
      </c>
      <c r="B50">
        <v>4</v>
      </c>
      <c r="C50" t="s">
        <v>245</v>
      </c>
      <c r="D50">
        <v>3</v>
      </c>
      <c r="E50">
        <v>0</v>
      </c>
      <c r="F50">
        <v>0</v>
      </c>
      <c r="G50">
        <v>3</v>
      </c>
      <c r="H50">
        <v>3</v>
      </c>
      <c r="I50">
        <v>8</v>
      </c>
      <c r="J50" t="s">
        <v>246</v>
      </c>
      <c r="K50">
        <v>0</v>
      </c>
    </row>
    <row r="52" spans="1:11">
      <c r="A52" t="s">
        <v>74</v>
      </c>
      <c r="B52">
        <v>1</v>
      </c>
      <c r="C52" t="s">
        <v>234</v>
      </c>
      <c r="D52">
        <v>3</v>
      </c>
      <c r="E52">
        <v>2</v>
      </c>
      <c r="F52">
        <v>1</v>
      </c>
      <c r="G52">
        <v>0</v>
      </c>
      <c r="H52">
        <v>4</v>
      </c>
      <c r="I52">
        <v>1</v>
      </c>
      <c r="J52" t="s">
        <v>201</v>
      </c>
      <c r="K52">
        <v>7</v>
      </c>
    </row>
    <row r="53" spans="1:11">
      <c r="A53" t="s">
        <v>74</v>
      </c>
      <c r="B53">
        <v>2</v>
      </c>
      <c r="C53" t="s">
        <v>59</v>
      </c>
      <c r="D53">
        <v>3</v>
      </c>
      <c r="E53">
        <v>1</v>
      </c>
      <c r="F53">
        <v>2</v>
      </c>
      <c r="G53">
        <v>0</v>
      </c>
      <c r="H53">
        <v>6</v>
      </c>
      <c r="I53">
        <v>1</v>
      </c>
      <c r="J53" t="s">
        <v>218</v>
      </c>
      <c r="K53">
        <v>5</v>
      </c>
    </row>
    <row r="54" spans="1:11">
      <c r="A54" t="s">
        <v>74</v>
      </c>
      <c r="B54">
        <v>3</v>
      </c>
      <c r="C54" t="s">
        <v>60</v>
      </c>
      <c r="D54">
        <v>3</v>
      </c>
      <c r="E54">
        <v>1</v>
      </c>
      <c r="F54">
        <v>1</v>
      </c>
      <c r="G54">
        <v>1</v>
      </c>
      <c r="H54">
        <v>4</v>
      </c>
      <c r="I54">
        <v>3</v>
      </c>
      <c r="J54" t="s">
        <v>198</v>
      </c>
      <c r="K54">
        <v>4</v>
      </c>
    </row>
    <row r="55" spans="1:11">
      <c r="A55" t="s">
        <v>74</v>
      </c>
      <c r="B55">
        <v>4</v>
      </c>
      <c r="C55" t="s">
        <v>61</v>
      </c>
      <c r="D55">
        <v>3</v>
      </c>
      <c r="E55">
        <v>0</v>
      </c>
      <c r="F55">
        <v>0</v>
      </c>
      <c r="G55">
        <v>3</v>
      </c>
      <c r="H55">
        <v>2</v>
      </c>
      <c r="I55">
        <v>11</v>
      </c>
      <c r="J55" t="s">
        <v>247</v>
      </c>
      <c r="K55">
        <v>0</v>
      </c>
    </row>
    <row r="57" spans="1:11">
      <c r="A57" t="s">
        <v>25</v>
      </c>
      <c r="B57">
        <v>1</v>
      </c>
      <c r="C57" t="s">
        <v>62</v>
      </c>
      <c r="D57">
        <v>3</v>
      </c>
      <c r="E57">
        <v>2</v>
      </c>
      <c r="F57">
        <v>1</v>
      </c>
      <c r="G57">
        <v>0</v>
      </c>
      <c r="H57">
        <v>6</v>
      </c>
      <c r="I57">
        <v>2</v>
      </c>
      <c r="J57" t="s">
        <v>220</v>
      </c>
      <c r="K57">
        <v>7</v>
      </c>
    </row>
    <row r="58" spans="1:11">
      <c r="A58" t="s">
        <v>25</v>
      </c>
      <c r="B58">
        <v>2</v>
      </c>
      <c r="C58" t="s">
        <v>63</v>
      </c>
      <c r="D58">
        <v>3</v>
      </c>
      <c r="E58">
        <v>2</v>
      </c>
      <c r="F58">
        <v>0</v>
      </c>
      <c r="G58">
        <v>1</v>
      </c>
      <c r="H58">
        <v>5</v>
      </c>
      <c r="I58">
        <v>5</v>
      </c>
      <c r="J58" t="s">
        <v>30</v>
      </c>
      <c r="K58">
        <v>6</v>
      </c>
    </row>
    <row r="59" spans="1:11">
      <c r="A59" t="s">
        <v>25</v>
      </c>
      <c r="B59">
        <v>3</v>
      </c>
      <c r="C59" t="s">
        <v>64</v>
      </c>
      <c r="D59">
        <v>3</v>
      </c>
      <c r="E59">
        <v>1</v>
      </c>
      <c r="F59">
        <v>1</v>
      </c>
      <c r="G59">
        <v>1</v>
      </c>
      <c r="H59">
        <v>2</v>
      </c>
      <c r="I59">
        <v>2</v>
      </c>
      <c r="J59" t="s">
        <v>30</v>
      </c>
      <c r="K59">
        <v>4</v>
      </c>
    </row>
    <row r="60" spans="1:11">
      <c r="A60" t="s">
        <v>25</v>
      </c>
      <c r="B60">
        <v>4</v>
      </c>
      <c r="C60" t="s">
        <v>65</v>
      </c>
      <c r="D60">
        <v>3</v>
      </c>
      <c r="E60">
        <v>0</v>
      </c>
      <c r="F60">
        <v>0</v>
      </c>
      <c r="G60">
        <v>3</v>
      </c>
      <c r="H60">
        <v>0</v>
      </c>
      <c r="I60">
        <v>4</v>
      </c>
      <c r="J60" t="s">
        <v>217</v>
      </c>
      <c r="K60">
        <v>0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E0970D-B2B6-4EFA-B539-6E61521AD453}">
  <sheetPr codeName="Arkusz2"/>
  <dimension ref="A1:G73"/>
  <sheetViews>
    <sheetView topLeftCell="A31" workbookViewId="0">
      <selection sqref="A1:G73"/>
    </sheetView>
  </sheetViews>
  <sheetFormatPr defaultRowHeight="13.2"/>
  <cols>
    <col min="1" max="1" width="18.6640625" bestFit="1" customWidth="1"/>
    <col min="2" max="2" width="28.33203125" bestFit="1" customWidth="1"/>
    <col min="3" max="4" width="8.77734375" bestFit="1" customWidth="1"/>
    <col min="5" max="5" width="28.33203125" bestFit="1" customWidth="1"/>
    <col min="6" max="6" width="9.77734375" bestFit="1" customWidth="1"/>
    <col min="7" max="7" width="17.33203125" bestFit="1" customWidth="1"/>
  </cols>
  <sheetData>
    <row r="1" spans="1:7">
      <c r="A1" t="s">
        <v>147</v>
      </c>
      <c r="B1" t="s">
        <v>32</v>
      </c>
      <c r="C1" t="s">
        <v>148</v>
      </c>
      <c r="D1" t="s">
        <v>149</v>
      </c>
      <c r="E1" t="s">
        <v>33</v>
      </c>
      <c r="F1" t="s">
        <v>150</v>
      </c>
      <c r="G1" t="s">
        <v>151</v>
      </c>
    </row>
    <row r="2" spans="1:7">
      <c r="A2" s="70">
        <v>46184.875</v>
      </c>
      <c r="B2" t="s">
        <v>152</v>
      </c>
      <c r="C2">
        <v>2</v>
      </c>
      <c r="D2">
        <v>0</v>
      </c>
      <c r="E2" t="s">
        <v>153</v>
      </c>
      <c r="F2" t="s">
        <v>154</v>
      </c>
      <c r="G2" t="s">
        <v>155</v>
      </c>
    </row>
    <row r="3" spans="1:7">
      <c r="A3" s="70">
        <v>46185.166666666664</v>
      </c>
      <c r="B3" t="s">
        <v>156</v>
      </c>
      <c r="C3">
        <v>2</v>
      </c>
      <c r="D3">
        <v>1</v>
      </c>
      <c r="E3" t="s">
        <v>157</v>
      </c>
      <c r="F3" t="s">
        <v>154</v>
      </c>
      <c r="G3" t="s">
        <v>158</v>
      </c>
    </row>
    <row r="4" spans="1:7">
      <c r="A4" s="70">
        <v>46185.875</v>
      </c>
      <c r="B4" t="s">
        <v>159</v>
      </c>
      <c r="C4">
        <v>1</v>
      </c>
      <c r="D4">
        <v>1</v>
      </c>
      <c r="E4" t="s">
        <v>160</v>
      </c>
      <c r="F4" t="s">
        <v>154</v>
      </c>
      <c r="G4" t="s">
        <v>161</v>
      </c>
    </row>
    <row r="5" spans="1:7">
      <c r="A5" s="70">
        <v>46186.125</v>
      </c>
      <c r="B5" t="s">
        <v>162</v>
      </c>
      <c r="C5">
        <v>4</v>
      </c>
      <c r="D5">
        <v>1</v>
      </c>
      <c r="E5" t="s">
        <v>163</v>
      </c>
      <c r="F5" t="s">
        <v>154</v>
      </c>
      <c r="G5" t="s">
        <v>164</v>
      </c>
    </row>
    <row r="6" spans="1:7">
      <c r="A6" s="70">
        <v>46186.875</v>
      </c>
      <c r="B6" t="s">
        <v>165</v>
      </c>
      <c r="C6">
        <v>1</v>
      </c>
      <c r="D6">
        <v>1</v>
      </c>
      <c r="E6" t="s">
        <v>166</v>
      </c>
      <c r="F6" t="s">
        <v>154</v>
      </c>
      <c r="G6" t="s">
        <v>161</v>
      </c>
    </row>
    <row r="7" spans="1:7">
      <c r="A7" s="70">
        <v>46187</v>
      </c>
      <c r="B7" t="s">
        <v>167</v>
      </c>
      <c r="C7">
        <v>1</v>
      </c>
      <c r="D7">
        <v>1</v>
      </c>
      <c r="E7" t="s">
        <v>168</v>
      </c>
      <c r="F7" t="s">
        <v>154</v>
      </c>
      <c r="G7" t="s">
        <v>161</v>
      </c>
    </row>
    <row r="8" spans="1:7">
      <c r="A8" s="70">
        <v>46187.125</v>
      </c>
      <c r="B8" t="s">
        <v>37</v>
      </c>
      <c r="C8">
        <v>0</v>
      </c>
      <c r="D8">
        <v>1</v>
      </c>
      <c r="E8" t="s">
        <v>169</v>
      </c>
      <c r="F8" t="s">
        <v>154</v>
      </c>
      <c r="G8" t="s">
        <v>170</v>
      </c>
    </row>
    <row r="9" spans="1:7">
      <c r="A9" s="70">
        <v>46187.25</v>
      </c>
      <c r="B9" t="s">
        <v>40</v>
      </c>
      <c r="C9">
        <v>2</v>
      </c>
      <c r="D9">
        <v>0</v>
      </c>
      <c r="E9" t="s">
        <v>171</v>
      </c>
      <c r="F9" t="s">
        <v>154</v>
      </c>
      <c r="G9" t="s">
        <v>155</v>
      </c>
    </row>
    <row r="10" spans="1:7">
      <c r="A10" s="70">
        <v>46187.791666666664</v>
      </c>
      <c r="B10" t="s">
        <v>172</v>
      </c>
      <c r="C10">
        <v>7</v>
      </c>
      <c r="D10">
        <v>1</v>
      </c>
      <c r="E10" t="s">
        <v>41</v>
      </c>
      <c r="F10" t="s">
        <v>154</v>
      </c>
      <c r="G10" t="s">
        <v>203</v>
      </c>
    </row>
    <row r="11" spans="1:7">
      <c r="A11" s="70">
        <v>46187.916666666664</v>
      </c>
      <c r="B11" t="s">
        <v>173</v>
      </c>
      <c r="C11">
        <v>2</v>
      </c>
      <c r="D11">
        <v>2</v>
      </c>
      <c r="E11" t="s">
        <v>174</v>
      </c>
      <c r="F11" t="s">
        <v>154</v>
      </c>
      <c r="G11" t="s">
        <v>204</v>
      </c>
    </row>
    <row r="12" spans="1:7">
      <c r="A12" s="70">
        <v>46188.041666666664</v>
      </c>
      <c r="B12" t="s">
        <v>175</v>
      </c>
      <c r="C12">
        <v>1</v>
      </c>
      <c r="D12">
        <v>0</v>
      </c>
      <c r="E12" t="s">
        <v>176</v>
      </c>
      <c r="F12" t="s">
        <v>154</v>
      </c>
      <c r="G12" t="s">
        <v>205</v>
      </c>
    </row>
    <row r="13" spans="1:7">
      <c r="A13" s="70">
        <v>46188.166666666664</v>
      </c>
      <c r="B13" t="s">
        <v>177</v>
      </c>
      <c r="C13">
        <v>5</v>
      </c>
      <c r="D13">
        <v>1</v>
      </c>
      <c r="E13" t="s">
        <v>178</v>
      </c>
      <c r="F13" t="s">
        <v>154</v>
      </c>
      <c r="G13" t="s">
        <v>206</v>
      </c>
    </row>
    <row r="14" spans="1:7">
      <c r="A14" s="70">
        <v>46188.75</v>
      </c>
      <c r="B14" t="s">
        <v>179</v>
      </c>
      <c r="C14">
        <v>0</v>
      </c>
      <c r="D14">
        <v>0</v>
      </c>
      <c r="E14" t="s">
        <v>180</v>
      </c>
      <c r="F14" t="s">
        <v>154</v>
      </c>
      <c r="G14" t="s">
        <v>207</v>
      </c>
    </row>
    <row r="15" spans="1:7">
      <c r="A15" s="70">
        <v>46188.875</v>
      </c>
      <c r="B15" t="s">
        <v>181</v>
      </c>
      <c r="C15">
        <v>1</v>
      </c>
      <c r="D15">
        <v>1</v>
      </c>
      <c r="E15" t="s">
        <v>182</v>
      </c>
      <c r="F15" t="s">
        <v>154</v>
      </c>
      <c r="G15" t="s">
        <v>161</v>
      </c>
    </row>
    <row r="16" spans="1:7">
      <c r="A16" s="70">
        <v>46189</v>
      </c>
      <c r="B16" t="s">
        <v>183</v>
      </c>
      <c r="C16">
        <v>1</v>
      </c>
      <c r="D16">
        <v>1</v>
      </c>
      <c r="E16" t="s">
        <v>184</v>
      </c>
      <c r="F16" t="s">
        <v>154</v>
      </c>
      <c r="G16" t="s">
        <v>161</v>
      </c>
    </row>
    <row r="17" spans="1:7">
      <c r="A17" s="70">
        <v>46189.125</v>
      </c>
      <c r="B17" t="s">
        <v>49</v>
      </c>
      <c r="C17">
        <v>2</v>
      </c>
      <c r="D17">
        <v>2</v>
      </c>
      <c r="E17" t="s">
        <v>185</v>
      </c>
      <c r="F17" t="s">
        <v>154</v>
      </c>
      <c r="G17" t="s">
        <v>204</v>
      </c>
    </row>
    <row r="18" spans="1:7">
      <c r="A18" s="70">
        <v>46189.875</v>
      </c>
      <c r="B18" t="s">
        <v>186</v>
      </c>
      <c r="C18">
        <v>3</v>
      </c>
      <c r="D18">
        <v>1</v>
      </c>
      <c r="E18" t="s">
        <v>55</v>
      </c>
      <c r="F18" t="s">
        <v>154</v>
      </c>
      <c r="G18" t="s">
        <v>208</v>
      </c>
    </row>
    <row r="19" spans="1:7">
      <c r="A19" s="70">
        <v>46190</v>
      </c>
      <c r="B19" t="s">
        <v>187</v>
      </c>
      <c r="C19">
        <v>1</v>
      </c>
      <c r="D19">
        <v>4</v>
      </c>
      <c r="E19" t="s">
        <v>188</v>
      </c>
      <c r="F19" t="s">
        <v>154</v>
      </c>
      <c r="G19" t="s">
        <v>209</v>
      </c>
    </row>
    <row r="20" spans="1:7">
      <c r="A20" s="70">
        <v>46190.125</v>
      </c>
      <c r="B20" t="s">
        <v>189</v>
      </c>
      <c r="C20">
        <v>3</v>
      </c>
      <c r="D20">
        <v>0</v>
      </c>
      <c r="E20" t="s">
        <v>190</v>
      </c>
      <c r="F20" t="s">
        <v>154</v>
      </c>
      <c r="G20" t="s">
        <v>210</v>
      </c>
    </row>
    <row r="21" spans="1:7">
      <c r="A21" s="70">
        <v>46190.25</v>
      </c>
      <c r="B21" t="s">
        <v>8</v>
      </c>
      <c r="C21">
        <v>3</v>
      </c>
      <c r="D21">
        <v>1</v>
      </c>
      <c r="E21" t="s">
        <v>191</v>
      </c>
      <c r="F21" t="s">
        <v>154</v>
      </c>
      <c r="G21" t="s">
        <v>208</v>
      </c>
    </row>
    <row r="22" spans="1:7">
      <c r="A22" s="70">
        <v>46190.791666666664</v>
      </c>
      <c r="B22" t="s">
        <v>192</v>
      </c>
      <c r="C22">
        <v>1</v>
      </c>
      <c r="D22">
        <v>1</v>
      </c>
      <c r="E22" t="s">
        <v>193</v>
      </c>
      <c r="F22" t="s">
        <v>154</v>
      </c>
      <c r="G22" t="s">
        <v>161</v>
      </c>
    </row>
    <row r="23" spans="1:7">
      <c r="A23" s="70">
        <v>46190.916666666664</v>
      </c>
      <c r="B23" t="s">
        <v>194</v>
      </c>
      <c r="C23">
        <v>4</v>
      </c>
      <c r="D23">
        <v>2</v>
      </c>
      <c r="E23" t="s">
        <v>195</v>
      </c>
      <c r="F23" t="s">
        <v>154</v>
      </c>
      <c r="G23" t="s">
        <v>211</v>
      </c>
    </row>
    <row r="24" spans="1:7">
      <c r="A24" s="70">
        <v>46191.041666666664</v>
      </c>
      <c r="B24" t="s">
        <v>64</v>
      </c>
      <c r="C24">
        <v>1</v>
      </c>
      <c r="D24">
        <v>0</v>
      </c>
      <c r="E24" t="s">
        <v>65</v>
      </c>
      <c r="F24" t="s">
        <v>154</v>
      </c>
      <c r="G24" t="s">
        <v>205</v>
      </c>
    </row>
    <row r="25" spans="1:7">
      <c r="A25" s="70">
        <v>46191.166666666664</v>
      </c>
      <c r="B25" t="s">
        <v>61</v>
      </c>
      <c r="C25">
        <v>1</v>
      </c>
      <c r="D25">
        <v>3</v>
      </c>
      <c r="E25" t="s">
        <v>196</v>
      </c>
      <c r="F25" t="s">
        <v>154</v>
      </c>
      <c r="G25" t="s">
        <v>212</v>
      </c>
    </row>
    <row r="26" spans="1:7">
      <c r="A26" s="70">
        <v>46191.75</v>
      </c>
      <c r="B26" t="s">
        <v>157</v>
      </c>
      <c r="C26">
        <v>1</v>
      </c>
      <c r="D26">
        <v>1</v>
      </c>
      <c r="E26" t="s">
        <v>153</v>
      </c>
      <c r="F26" t="s">
        <v>154</v>
      </c>
      <c r="G26" t="s">
        <v>161</v>
      </c>
    </row>
    <row r="27" spans="1:7">
      <c r="A27" s="70">
        <v>46191.875</v>
      </c>
      <c r="B27" t="s">
        <v>166</v>
      </c>
      <c r="C27">
        <v>4</v>
      </c>
      <c r="D27">
        <v>1</v>
      </c>
      <c r="E27" t="s">
        <v>160</v>
      </c>
      <c r="F27" t="s">
        <v>154</v>
      </c>
      <c r="G27" t="s">
        <v>164</v>
      </c>
    </row>
    <row r="28" spans="1:7">
      <c r="A28" s="70">
        <v>46192</v>
      </c>
      <c r="B28" t="s">
        <v>159</v>
      </c>
      <c r="C28">
        <v>6</v>
      </c>
      <c r="D28">
        <v>0</v>
      </c>
      <c r="E28" t="s">
        <v>165</v>
      </c>
      <c r="F28" t="s">
        <v>154</v>
      </c>
      <c r="G28" t="s">
        <v>213</v>
      </c>
    </row>
    <row r="29" spans="1:7">
      <c r="A29" s="70">
        <v>46192.125</v>
      </c>
      <c r="B29" t="s">
        <v>152</v>
      </c>
      <c r="C29">
        <v>1</v>
      </c>
      <c r="D29">
        <v>0</v>
      </c>
      <c r="E29" t="s">
        <v>156</v>
      </c>
      <c r="F29" t="s">
        <v>154</v>
      </c>
      <c r="G29" t="s">
        <v>205</v>
      </c>
    </row>
    <row r="30" spans="1:7">
      <c r="A30" s="70">
        <v>46192.875</v>
      </c>
      <c r="B30" t="s">
        <v>162</v>
      </c>
      <c r="C30">
        <v>2</v>
      </c>
      <c r="D30">
        <v>0</v>
      </c>
      <c r="E30" t="s">
        <v>40</v>
      </c>
      <c r="F30" t="s">
        <v>154</v>
      </c>
      <c r="G30" t="s">
        <v>155</v>
      </c>
    </row>
    <row r="31" spans="1:7">
      <c r="A31" s="70">
        <v>46193</v>
      </c>
      <c r="B31" t="s">
        <v>169</v>
      </c>
      <c r="C31">
        <v>0</v>
      </c>
      <c r="D31">
        <v>1</v>
      </c>
      <c r="E31" t="s">
        <v>168</v>
      </c>
      <c r="F31" t="s">
        <v>154</v>
      </c>
      <c r="G31" t="s">
        <v>170</v>
      </c>
    </row>
    <row r="32" spans="1:7">
      <c r="A32" s="70">
        <v>46193.104166666664</v>
      </c>
      <c r="B32" t="s">
        <v>167</v>
      </c>
      <c r="C32">
        <v>3</v>
      </c>
      <c r="D32">
        <v>0</v>
      </c>
      <c r="E32" t="s">
        <v>37</v>
      </c>
      <c r="F32" t="s">
        <v>154</v>
      </c>
      <c r="G32" t="s">
        <v>210</v>
      </c>
    </row>
    <row r="33" spans="1:7">
      <c r="A33" s="70">
        <v>46193.208333333336</v>
      </c>
      <c r="B33" t="s">
        <v>171</v>
      </c>
      <c r="C33">
        <v>0</v>
      </c>
      <c r="D33">
        <v>1</v>
      </c>
      <c r="E33" t="s">
        <v>163</v>
      </c>
      <c r="F33" t="s">
        <v>154</v>
      </c>
      <c r="G33" t="s">
        <v>170</v>
      </c>
    </row>
    <row r="34" spans="1:7">
      <c r="A34" s="70">
        <v>46193.791666666664</v>
      </c>
      <c r="B34" t="s">
        <v>173</v>
      </c>
      <c r="C34">
        <v>5</v>
      </c>
      <c r="D34">
        <v>1</v>
      </c>
      <c r="E34" t="s">
        <v>177</v>
      </c>
      <c r="F34" t="s">
        <v>154</v>
      </c>
      <c r="G34" t="s">
        <v>206</v>
      </c>
    </row>
    <row r="35" spans="1:7">
      <c r="A35" s="70">
        <v>46193.916666666664</v>
      </c>
      <c r="B35" t="s">
        <v>172</v>
      </c>
      <c r="C35">
        <v>2</v>
      </c>
      <c r="D35">
        <v>1</v>
      </c>
      <c r="E35" t="s">
        <v>175</v>
      </c>
      <c r="F35" t="s">
        <v>154</v>
      </c>
      <c r="G35" t="s">
        <v>158</v>
      </c>
    </row>
    <row r="36" spans="1:7">
      <c r="A36" s="70">
        <v>46194.083333333336</v>
      </c>
      <c r="B36" t="s">
        <v>176</v>
      </c>
      <c r="C36">
        <v>0</v>
      </c>
      <c r="D36">
        <v>0</v>
      </c>
      <c r="E36" t="s">
        <v>41</v>
      </c>
      <c r="F36" t="s">
        <v>154</v>
      </c>
      <c r="G36" t="s">
        <v>207</v>
      </c>
    </row>
    <row r="37" spans="1:7">
      <c r="A37" s="70">
        <v>46194.25</v>
      </c>
      <c r="B37" t="s">
        <v>178</v>
      </c>
      <c r="C37">
        <v>0</v>
      </c>
      <c r="D37">
        <v>4</v>
      </c>
      <c r="E37" t="s">
        <v>174</v>
      </c>
      <c r="F37" t="s">
        <v>154</v>
      </c>
      <c r="G37" t="s">
        <v>214</v>
      </c>
    </row>
    <row r="38" spans="1:7">
      <c r="A38" s="70">
        <v>46194.75</v>
      </c>
      <c r="B38" t="s">
        <v>179</v>
      </c>
      <c r="C38">
        <v>4</v>
      </c>
      <c r="D38">
        <v>0</v>
      </c>
      <c r="E38" t="s">
        <v>183</v>
      </c>
      <c r="F38" t="s">
        <v>154</v>
      </c>
      <c r="G38" t="s">
        <v>222</v>
      </c>
    </row>
    <row r="39" spans="1:7">
      <c r="A39" s="70">
        <v>46194.875</v>
      </c>
      <c r="B39" t="s">
        <v>181</v>
      </c>
      <c r="C39">
        <v>0</v>
      </c>
      <c r="D39">
        <v>0</v>
      </c>
      <c r="E39" t="s">
        <v>49</v>
      </c>
      <c r="F39" t="s">
        <v>154</v>
      </c>
      <c r="G39" t="s">
        <v>207</v>
      </c>
    </row>
    <row r="40" spans="1:7">
      <c r="A40" s="70">
        <v>46195</v>
      </c>
      <c r="B40" t="s">
        <v>184</v>
      </c>
      <c r="C40">
        <v>2</v>
      </c>
      <c r="D40">
        <v>2</v>
      </c>
      <c r="E40" t="s">
        <v>180</v>
      </c>
      <c r="F40" t="s">
        <v>154</v>
      </c>
      <c r="G40" t="s">
        <v>204</v>
      </c>
    </row>
    <row r="41" spans="1:7">
      <c r="A41" s="70">
        <v>46195.125</v>
      </c>
      <c r="B41" t="s">
        <v>185</v>
      </c>
      <c r="C41">
        <v>1</v>
      </c>
      <c r="D41">
        <v>3</v>
      </c>
      <c r="E41" t="s">
        <v>182</v>
      </c>
      <c r="F41" t="s">
        <v>154</v>
      </c>
      <c r="G41" t="s">
        <v>212</v>
      </c>
    </row>
    <row r="42" spans="1:7">
      <c r="A42" s="70">
        <v>46195.791666666664</v>
      </c>
      <c r="B42" t="s">
        <v>189</v>
      </c>
      <c r="C42">
        <v>2</v>
      </c>
      <c r="D42">
        <v>0</v>
      </c>
      <c r="E42" t="s">
        <v>8</v>
      </c>
      <c r="F42" t="s">
        <v>154</v>
      </c>
      <c r="G42" t="s">
        <v>155</v>
      </c>
    </row>
    <row r="43" spans="1:7">
      <c r="A43" s="70">
        <v>46195.958333333336</v>
      </c>
      <c r="B43" t="s">
        <v>186</v>
      </c>
      <c r="C43">
        <v>3</v>
      </c>
      <c r="D43">
        <v>0</v>
      </c>
      <c r="E43" t="s">
        <v>187</v>
      </c>
      <c r="F43" t="s">
        <v>154</v>
      </c>
      <c r="G43" t="s">
        <v>210</v>
      </c>
    </row>
    <row r="44" spans="1:7">
      <c r="A44" s="70">
        <v>46196.083333333336</v>
      </c>
      <c r="B44" t="s">
        <v>188</v>
      </c>
      <c r="C44">
        <v>3</v>
      </c>
      <c r="D44">
        <v>2</v>
      </c>
      <c r="E44" t="s">
        <v>55</v>
      </c>
      <c r="F44" t="s">
        <v>154</v>
      </c>
      <c r="G44" t="s">
        <v>223</v>
      </c>
    </row>
    <row r="45" spans="1:7">
      <c r="A45" s="70">
        <v>46196.208333333336</v>
      </c>
      <c r="B45" t="s">
        <v>191</v>
      </c>
      <c r="C45">
        <v>1</v>
      </c>
      <c r="D45">
        <v>2</v>
      </c>
      <c r="E45" t="s">
        <v>190</v>
      </c>
      <c r="F45" t="s">
        <v>154</v>
      </c>
      <c r="G45" t="s">
        <v>224</v>
      </c>
    </row>
    <row r="46" spans="1:7">
      <c r="A46" s="70">
        <v>46196.791666666664</v>
      </c>
      <c r="B46" t="s">
        <v>192</v>
      </c>
      <c r="C46">
        <v>5</v>
      </c>
      <c r="D46">
        <v>0</v>
      </c>
      <c r="E46" t="s">
        <v>61</v>
      </c>
      <c r="F46" t="s">
        <v>154</v>
      </c>
      <c r="G46" t="s">
        <v>225</v>
      </c>
    </row>
    <row r="47" spans="1:7">
      <c r="A47" s="70">
        <v>46196.916666666664</v>
      </c>
      <c r="B47" t="s">
        <v>194</v>
      </c>
      <c r="C47">
        <v>0</v>
      </c>
      <c r="D47">
        <v>0</v>
      </c>
      <c r="E47" t="s">
        <v>64</v>
      </c>
      <c r="F47" t="s">
        <v>154</v>
      </c>
      <c r="G47" t="s">
        <v>207</v>
      </c>
    </row>
    <row r="48" spans="1:7">
      <c r="A48" s="70">
        <v>46197.041666666664</v>
      </c>
      <c r="B48" t="s">
        <v>65</v>
      </c>
      <c r="C48">
        <v>0</v>
      </c>
      <c r="D48">
        <v>1</v>
      </c>
      <c r="E48" t="s">
        <v>195</v>
      </c>
      <c r="F48" t="s">
        <v>154</v>
      </c>
      <c r="G48" t="s">
        <v>170</v>
      </c>
    </row>
    <row r="49" spans="1:7">
      <c r="A49" s="70">
        <v>46197.166666666664</v>
      </c>
      <c r="B49" t="s">
        <v>196</v>
      </c>
      <c r="C49">
        <v>1</v>
      </c>
      <c r="D49">
        <v>0</v>
      </c>
      <c r="E49" t="s">
        <v>193</v>
      </c>
      <c r="F49" t="s">
        <v>154</v>
      </c>
      <c r="G49" t="s">
        <v>205</v>
      </c>
    </row>
    <row r="50" spans="1:7">
      <c r="A50" s="70">
        <v>46197.875</v>
      </c>
      <c r="B50" t="s">
        <v>166</v>
      </c>
      <c r="C50">
        <v>2</v>
      </c>
      <c r="D50">
        <v>1</v>
      </c>
      <c r="E50" t="s">
        <v>159</v>
      </c>
      <c r="F50" t="s">
        <v>154</v>
      </c>
      <c r="G50" t="s">
        <v>158</v>
      </c>
    </row>
    <row r="51" spans="1:7">
      <c r="A51" s="70">
        <v>46197.875</v>
      </c>
      <c r="B51" t="s">
        <v>160</v>
      </c>
      <c r="C51">
        <v>3</v>
      </c>
      <c r="D51">
        <v>1</v>
      </c>
      <c r="E51" t="s">
        <v>165</v>
      </c>
      <c r="F51" t="s">
        <v>154</v>
      </c>
      <c r="G51" t="s">
        <v>208</v>
      </c>
    </row>
    <row r="52" spans="1:7">
      <c r="A52" s="70">
        <v>46198</v>
      </c>
      <c r="B52" t="s">
        <v>169</v>
      </c>
      <c r="C52">
        <v>0</v>
      </c>
      <c r="D52">
        <v>3</v>
      </c>
      <c r="E52" t="s">
        <v>167</v>
      </c>
      <c r="F52" t="s">
        <v>154</v>
      </c>
      <c r="G52" t="s">
        <v>226</v>
      </c>
    </row>
    <row r="53" spans="1:7">
      <c r="A53" s="70">
        <v>46198</v>
      </c>
      <c r="B53" t="s">
        <v>168</v>
      </c>
      <c r="C53">
        <v>4</v>
      </c>
      <c r="D53">
        <v>2</v>
      </c>
      <c r="E53" t="s">
        <v>37</v>
      </c>
      <c r="F53" t="s">
        <v>154</v>
      </c>
      <c r="G53" t="s">
        <v>211</v>
      </c>
    </row>
    <row r="54" spans="1:7">
      <c r="A54" s="70">
        <v>46198.125</v>
      </c>
      <c r="B54" t="s">
        <v>157</v>
      </c>
      <c r="C54">
        <v>0</v>
      </c>
      <c r="D54">
        <v>3</v>
      </c>
      <c r="E54" t="s">
        <v>152</v>
      </c>
      <c r="F54" t="s">
        <v>154</v>
      </c>
      <c r="G54" t="s">
        <v>226</v>
      </c>
    </row>
    <row r="55" spans="1:7">
      <c r="A55" s="70">
        <v>46198.125</v>
      </c>
      <c r="B55" t="s">
        <v>153</v>
      </c>
      <c r="C55">
        <v>1</v>
      </c>
      <c r="D55">
        <v>0</v>
      </c>
      <c r="E55" t="s">
        <v>156</v>
      </c>
      <c r="F55" t="s">
        <v>154</v>
      </c>
      <c r="G55" t="s">
        <v>205</v>
      </c>
    </row>
    <row r="56" spans="1:7">
      <c r="A56" s="70">
        <v>46198.916666666664</v>
      </c>
      <c r="B56" t="s">
        <v>41</v>
      </c>
      <c r="C56">
        <v>0</v>
      </c>
      <c r="D56">
        <v>2</v>
      </c>
      <c r="E56" t="s">
        <v>175</v>
      </c>
      <c r="F56" t="s">
        <v>154</v>
      </c>
      <c r="G56" t="s">
        <v>228</v>
      </c>
    </row>
    <row r="57" spans="1:7">
      <c r="A57" s="70">
        <v>46198.916666666664</v>
      </c>
      <c r="B57" t="s">
        <v>176</v>
      </c>
      <c r="C57">
        <v>2</v>
      </c>
      <c r="D57">
        <v>1</v>
      </c>
      <c r="E57" t="s">
        <v>172</v>
      </c>
      <c r="F57" t="s">
        <v>154</v>
      </c>
      <c r="G57" t="s">
        <v>158</v>
      </c>
    </row>
    <row r="58" spans="1:7">
      <c r="A58" s="70">
        <v>46199.041666666664</v>
      </c>
      <c r="B58" t="s">
        <v>174</v>
      </c>
      <c r="C58">
        <v>1</v>
      </c>
      <c r="D58">
        <v>1</v>
      </c>
      <c r="E58" t="s">
        <v>177</v>
      </c>
      <c r="F58" t="s">
        <v>154</v>
      </c>
      <c r="G58" t="s">
        <v>161</v>
      </c>
    </row>
    <row r="59" spans="1:7">
      <c r="A59" s="70">
        <v>46199.041666666664</v>
      </c>
      <c r="B59" t="s">
        <v>178</v>
      </c>
      <c r="C59">
        <v>1</v>
      </c>
      <c r="D59">
        <v>3</v>
      </c>
      <c r="E59" t="s">
        <v>173</v>
      </c>
      <c r="F59" t="s">
        <v>154</v>
      </c>
      <c r="G59" t="s">
        <v>212</v>
      </c>
    </row>
    <row r="60" spans="1:7">
      <c r="A60" s="70">
        <v>46199.166666666664</v>
      </c>
      <c r="B60" t="s">
        <v>171</v>
      </c>
      <c r="C60">
        <v>3</v>
      </c>
      <c r="D60">
        <v>2</v>
      </c>
      <c r="E60" t="s">
        <v>162</v>
      </c>
      <c r="F60" t="s">
        <v>154</v>
      </c>
      <c r="G60" t="s">
        <v>223</v>
      </c>
    </row>
    <row r="61" spans="1:7">
      <c r="A61" s="70">
        <v>46199.166666666664</v>
      </c>
      <c r="B61" t="s">
        <v>163</v>
      </c>
      <c r="C61">
        <v>0</v>
      </c>
      <c r="D61">
        <v>0</v>
      </c>
      <c r="E61" t="s">
        <v>40</v>
      </c>
      <c r="F61" t="s">
        <v>154</v>
      </c>
      <c r="G61" t="s">
        <v>207</v>
      </c>
    </row>
    <row r="62" spans="1:7">
      <c r="A62" s="70">
        <v>46199.875</v>
      </c>
      <c r="B62" t="s">
        <v>188</v>
      </c>
      <c r="C62">
        <v>1</v>
      </c>
      <c r="D62">
        <v>4</v>
      </c>
      <c r="E62" t="s">
        <v>186</v>
      </c>
      <c r="F62" t="s">
        <v>154</v>
      </c>
      <c r="G62" t="s">
        <v>209</v>
      </c>
    </row>
    <row r="63" spans="1:7">
      <c r="A63" s="70">
        <v>46199.875</v>
      </c>
      <c r="B63" t="s">
        <v>55</v>
      </c>
      <c r="C63">
        <v>5</v>
      </c>
      <c r="D63">
        <v>0</v>
      </c>
      <c r="E63" t="s">
        <v>187</v>
      </c>
      <c r="F63" t="s">
        <v>154</v>
      </c>
      <c r="G63" t="s">
        <v>225</v>
      </c>
    </row>
    <row r="64" spans="1:7">
      <c r="A64" s="70">
        <v>46200.083333333336</v>
      </c>
      <c r="B64" t="s">
        <v>180</v>
      </c>
      <c r="C64">
        <v>0</v>
      </c>
      <c r="D64">
        <v>0</v>
      </c>
      <c r="E64" t="s">
        <v>183</v>
      </c>
      <c r="F64" t="s">
        <v>154</v>
      </c>
      <c r="G64" t="s">
        <v>207</v>
      </c>
    </row>
    <row r="65" spans="1:7">
      <c r="A65" s="70">
        <v>46200.083333333336</v>
      </c>
      <c r="B65" t="s">
        <v>184</v>
      </c>
      <c r="C65">
        <v>0</v>
      </c>
      <c r="D65">
        <v>1</v>
      </c>
      <c r="E65" t="s">
        <v>179</v>
      </c>
      <c r="F65" t="s">
        <v>154</v>
      </c>
      <c r="G65" t="s">
        <v>170</v>
      </c>
    </row>
    <row r="66" spans="1:7">
      <c r="A66" s="70">
        <v>46200.208333333336</v>
      </c>
      <c r="B66" t="s">
        <v>182</v>
      </c>
      <c r="C66">
        <v>1</v>
      </c>
      <c r="D66">
        <v>1</v>
      </c>
      <c r="E66" t="s">
        <v>49</v>
      </c>
      <c r="F66" t="s">
        <v>154</v>
      </c>
      <c r="G66" t="s">
        <v>161</v>
      </c>
    </row>
    <row r="67" spans="1:7">
      <c r="A67" s="70">
        <v>46200.208333333336</v>
      </c>
      <c r="B67" t="s">
        <v>185</v>
      </c>
      <c r="C67">
        <v>1</v>
      </c>
      <c r="D67">
        <v>5</v>
      </c>
      <c r="E67" t="s">
        <v>181</v>
      </c>
      <c r="F67" t="s">
        <v>154</v>
      </c>
      <c r="G67" t="s">
        <v>229</v>
      </c>
    </row>
    <row r="68" spans="1:7">
      <c r="A68" s="70">
        <v>46200.958333333336</v>
      </c>
      <c r="B68" t="s">
        <v>65</v>
      </c>
      <c r="C68">
        <v>0</v>
      </c>
      <c r="D68">
        <v>2</v>
      </c>
      <c r="E68" t="s">
        <v>194</v>
      </c>
      <c r="F68" t="s">
        <v>154</v>
      </c>
      <c r="G68" t="s">
        <v>228</v>
      </c>
    </row>
    <row r="69" spans="1:7">
      <c r="A69" s="70">
        <v>46200.958333333336</v>
      </c>
      <c r="B69" t="s">
        <v>195</v>
      </c>
      <c r="C69">
        <v>2</v>
      </c>
      <c r="D69">
        <v>1</v>
      </c>
      <c r="E69" t="s">
        <v>64</v>
      </c>
      <c r="F69" t="s">
        <v>154</v>
      </c>
      <c r="G69" t="s">
        <v>158</v>
      </c>
    </row>
    <row r="70" spans="1:7">
      <c r="A70" s="70">
        <v>46201.0625</v>
      </c>
      <c r="B70" t="s">
        <v>196</v>
      </c>
      <c r="C70">
        <v>0</v>
      </c>
      <c r="D70">
        <v>0</v>
      </c>
      <c r="E70" t="s">
        <v>192</v>
      </c>
      <c r="F70" t="s">
        <v>154</v>
      </c>
      <c r="G70" t="s">
        <v>207</v>
      </c>
    </row>
    <row r="71" spans="1:7">
      <c r="A71" s="70">
        <v>46201.0625</v>
      </c>
      <c r="B71" t="s">
        <v>193</v>
      </c>
      <c r="C71">
        <v>3</v>
      </c>
      <c r="D71">
        <v>1</v>
      </c>
      <c r="E71" t="s">
        <v>61</v>
      </c>
      <c r="F71" t="s">
        <v>154</v>
      </c>
      <c r="G71" t="s">
        <v>208</v>
      </c>
    </row>
    <row r="72" spans="1:7">
      <c r="A72" s="70">
        <v>46201.166666666664</v>
      </c>
      <c r="B72" t="s">
        <v>190</v>
      </c>
      <c r="C72">
        <v>3</v>
      </c>
      <c r="D72">
        <v>3</v>
      </c>
      <c r="E72" t="s">
        <v>8</v>
      </c>
      <c r="F72" t="s">
        <v>154</v>
      </c>
      <c r="G72" t="s">
        <v>230</v>
      </c>
    </row>
    <row r="73" spans="1:7">
      <c r="A73" s="70">
        <v>46201.166666666664</v>
      </c>
      <c r="B73" t="s">
        <v>191</v>
      </c>
      <c r="C73">
        <v>1</v>
      </c>
      <c r="D73">
        <v>3</v>
      </c>
      <c r="E73" t="s">
        <v>189</v>
      </c>
      <c r="F73" t="s">
        <v>154</v>
      </c>
      <c r="G73" t="s">
        <v>212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3937A9-5747-4F6B-B8D4-D472469B57BC}">
  <sheetPr codeName="Arkusz6">
    <tabColor rgb="FFFFFF00"/>
  </sheetPr>
  <dimension ref="A2:I34"/>
  <sheetViews>
    <sheetView topLeftCell="A7" workbookViewId="0">
      <selection activeCell="E22" sqref="E22"/>
    </sheetView>
  </sheetViews>
  <sheetFormatPr defaultRowHeight="13.2"/>
  <cols>
    <col min="1" max="1" width="18.6640625" bestFit="1" customWidth="1"/>
    <col min="2" max="2" width="24.6640625" bestFit="1" customWidth="1"/>
    <col min="3" max="4" width="8.77734375" bestFit="1" customWidth="1"/>
    <col min="5" max="5" width="28.33203125" bestFit="1" customWidth="1"/>
    <col min="6" max="6" width="11.5546875" bestFit="1" customWidth="1"/>
    <col min="7" max="7" width="17.33203125" bestFit="1" customWidth="1"/>
  </cols>
  <sheetData>
    <row r="2" spans="1:9">
      <c r="A2" t="s">
        <v>147</v>
      </c>
      <c r="B2" t="s">
        <v>32</v>
      </c>
      <c r="C2" t="s">
        <v>148</v>
      </c>
      <c r="D2" t="s">
        <v>149</v>
      </c>
      <c r="E2" t="s">
        <v>33</v>
      </c>
      <c r="F2" t="s">
        <v>150</v>
      </c>
      <c r="G2" t="s">
        <v>151</v>
      </c>
      <c r="I2" t="s">
        <v>254</v>
      </c>
    </row>
    <row r="3" spans="1:9">
      <c r="A3" s="70">
        <v>46201.875</v>
      </c>
      <c r="B3" t="s">
        <v>153</v>
      </c>
      <c r="C3">
        <v>0</v>
      </c>
      <c r="D3">
        <v>1</v>
      </c>
      <c r="E3" t="s">
        <v>159</v>
      </c>
      <c r="F3" t="s">
        <v>154</v>
      </c>
      <c r="G3" t="s">
        <v>170</v>
      </c>
      <c r="I3" t="s">
        <v>255</v>
      </c>
    </row>
    <row r="4" spans="1:9">
      <c r="A4" s="70">
        <v>46202.791666666664</v>
      </c>
      <c r="B4" t="s">
        <v>167</v>
      </c>
      <c r="C4">
        <v>2</v>
      </c>
      <c r="D4">
        <v>1</v>
      </c>
      <c r="E4" t="s">
        <v>174</v>
      </c>
      <c r="F4" t="s">
        <v>154</v>
      </c>
      <c r="G4" t="s">
        <v>158</v>
      </c>
      <c r="I4" t="s">
        <v>256</v>
      </c>
    </row>
    <row r="5" spans="1:9">
      <c r="A5" s="70">
        <v>46202.9375</v>
      </c>
      <c r="B5" t="s">
        <v>172</v>
      </c>
      <c r="C5">
        <v>1</v>
      </c>
      <c r="D5">
        <v>1</v>
      </c>
      <c r="E5" t="s">
        <v>163</v>
      </c>
      <c r="F5" t="s">
        <v>154</v>
      </c>
      <c r="G5" t="s">
        <v>268</v>
      </c>
    </row>
    <row r="6" spans="1:9">
      <c r="A6" s="70">
        <v>46203.125</v>
      </c>
      <c r="B6" t="s">
        <v>173</v>
      </c>
      <c r="C6">
        <v>1</v>
      </c>
      <c r="D6">
        <v>1</v>
      </c>
      <c r="E6" t="s">
        <v>168</v>
      </c>
      <c r="F6" t="s">
        <v>154</v>
      </c>
      <c r="G6" t="s">
        <v>268</v>
      </c>
    </row>
    <row r="7" spans="1:9">
      <c r="A7" s="70">
        <v>46203.791666666664</v>
      </c>
      <c r="B7" t="s">
        <v>175</v>
      </c>
      <c r="C7">
        <v>1</v>
      </c>
      <c r="D7">
        <v>2</v>
      </c>
      <c r="E7" t="s">
        <v>188</v>
      </c>
      <c r="F7" t="s">
        <v>154</v>
      </c>
      <c r="G7" t="s">
        <v>224</v>
      </c>
    </row>
    <row r="8" spans="1:9">
      <c r="A8" s="70">
        <v>46203.958333333336</v>
      </c>
      <c r="B8" t="s">
        <v>186</v>
      </c>
      <c r="C8">
        <v>3</v>
      </c>
      <c r="D8">
        <v>0</v>
      </c>
      <c r="E8" t="s">
        <v>177</v>
      </c>
      <c r="F8" t="s">
        <v>154</v>
      </c>
      <c r="G8" t="s">
        <v>210</v>
      </c>
    </row>
    <row r="9" spans="1:9">
      <c r="A9" s="70">
        <v>46204.166666666664</v>
      </c>
      <c r="B9" t="s">
        <v>152</v>
      </c>
      <c r="C9">
        <v>2</v>
      </c>
      <c r="D9">
        <v>0</v>
      </c>
      <c r="E9" t="s">
        <v>176</v>
      </c>
      <c r="F9" t="s">
        <v>154</v>
      </c>
      <c r="G9" t="s">
        <v>155</v>
      </c>
    </row>
    <row r="10" spans="1:9">
      <c r="A10" s="70">
        <v>46204.75</v>
      </c>
      <c r="B10" t="s">
        <v>194</v>
      </c>
      <c r="C10">
        <v>2</v>
      </c>
      <c r="D10">
        <v>1</v>
      </c>
      <c r="E10" t="s">
        <v>193</v>
      </c>
      <c r="F10" t="s">
        <v>154</v>
      </c>
      <c r="G10" t="s">
        <v>158</v>
      </c>
    </row>
    <row r="11" spans="1:9">
      <c r="A11" s="70">
        <v>46204.916666666664</v>
      </c>
      <c r="B11" t="s">
        <v>181</v>
      </c>
      <c r="C11">
        <v>3</v>
      </c>
      <c r="D11">
        <v>2</v>
      </c>
      <c r="E11" t="s">
        <v>55</v>
      </c>
      <c r="F11" t="s">
        <v>154</v>
      </c>
      <c r="G11" t="s">
        <v>269</v>
      </c>
    </row>
    <row r="12" spans="1:9">
      <c r="A12" s="70">
        <v>46205.083333333336</v>
      </c>
      <c r="B12" t="s">
        <v>162</v>
      </c>
      <c r="C12">
        <v>2</v>
      </c>
      <c r="D12">
        <v>0</v>
      </c>
      <c r="E12" t="s">
        <v>160</v>
      </c>
      <c r="F12" t="s">
        <v>154</v>
      </c>
      <c r="G12" t="s">
        <v>155</v>
      </c>
    </row>
    <row r="13" spans="1:9">
      <c r="A13" s="70">
        <v>46205.875</v>
      </c>
      <c r="B13" t="s">
        <v>179</v>
      </c>
      <c r="C13">
        <v>3</v>
      </c>
      <c r="D13">
        <v>0</v>
      </c>
      <c r="E13" t="s">
        <v>8</v>
      </c>
      <c r="F13" t="s">
        <v>154</v>
      </c>
      <c r="G13" t="s">
        <v>210</v>
      </c>
    </row>
    <row r="14" spans="1:9">
      <c r="A14" s="70">
        <v>46206.041666666664</v>
      </c>
      <c r="B14" t="s">
        <v>192</v>
      </c>
      <c r="C14">
        <v>2</v>
      </c>
      <c r="D14">
        <v>1</v>
      </c>
      <c r="E14" t="s">
        <v>195</v>
      </c>
      <c r="F14" t="s">
        <v>154</v>
      </c>
      <c r="G14" t="s">
        <v>158</v>
      </c>
    </row>
    <row r="15" spans="1:9">
      <c r="A15" s="70">
        <v>46206.208333333336</v>
      </c>
      <c r="B15" t="s">
        <v>166</v>
      </c>
      <c r="C15">
        <v>2</v>
      </c>
      <c r="D15">
        <v>0</v>
      </c>
      <c r="E15" t="s">
        <v>190</v>
      </c>
      <c r="F15" t="s">
        <v>154</v>
      </c>
      <c r="G15" t="s">
        <v>155</v>
      </c>
    </row>
    <row r="16" spans="1:9">
      <c r="A16" s="70">
        <v>46206.833333333336</v>
      </c>
      <c r="B16" t="s">
        <v>40</v>
      </c>
      <c r="C16">
        <v>1</v>
      </c>
      <c r="D16">
        <v>1</v>
      </c>
      <c r="E16" t="s">
        <v>182</v>
      </c>
      <c r="F16" t="s">
        <v>154</v>
      </c>
      <c r="G16" t="s">
        <v>268</v>
      </c>
    </row>
    <row r="17" spans="1:7">
      <c r="A17" s="70">
        <v>46207</v>
      </c>
      <c r="B17" t="s">
        <v>189</v>
      </c>
      <c r="C17">
        <v>3</v>
      </c>
      <c r="D17">
        <v>2</v>
      </c>
      <c r="E17" t="s">
        <v>180</v>
      </c>
      <c r="F17" t="s">
        <v>154</v>
      </c>
      <c r="G17" t="s">
        <v>269</v>
      </c>
    </row>
    <row r="18" spans="1:7">
      <c r="A18" s="70">
        <v>46207.145833333336</v>
      </c>
      <c r="B18" t="s">
        <v>196</v>
      </c>
      <c r="C18">
        <v>1</v>
      </c>
      <c r="D18">
        <v>0</v>
      </c>
      <c r="E18" t="s">
        <v>64</v>
      </c>
      <c r="F18" t="s">
        <v>154</v>
      </c>
      <c r="G18" t="s">
        <v>205</v>
      </c>
    </row>
    <row r="19" spans="1:7">
      <c r="A19" s="70">
        <v>46207.791666666664</v>
      </c>
      <c r="B19" t="s">
        <v>159</v>
      </c>
      <c r="C19">
        <v>0</v>
      </c>
      <c r="D19">
        <v>3</v>
      </c>
      <c r="E19" t="s">
        <v>168</v>
      </c>
      <c r="F19" t="s">
        <v>154</v>
      </c>
      <c r="G19" t="s">
        <v>226</v>
      </c>
    </row>
    <row r="20" spans="1:7">
      <c r="A20" s="70">
        <v>46207.958333333336</v>
      </c>
      <c r="B20" t="s">
        <v>163</v>
      </c>
      <c r="C20">
        <v>0</v>
      </c>
      <c r="D20">
        <v>1</v>
      </c>
      <c r="E20" t="s">
        <v>186</v>
      </c>
      <c r="F20" t="s">
        <v>154</v>
      </c>
      <c r="G20" t="s">
        <v>170</v>
      </c>
    </row>
    <row r="21" spans="1:7">
      <c r="A21" s="70">
        <v>46208.916666666664</v>
      </c>
      <c r="B21" t="s">
        <v>167</v>
      </c>
      <c r="C21">
        <v>1</v>
      </c>
      <c r="D21">
        <v>2</v>
      </c>
      <c r="E21" t="s">
        <v>188</v>
      </c>
      <c r="F21" t="s">
        <v>154</v>
      </c>
      <c r="G21" t="s">
        <v>224</v>
      </c>
    </row>
    <row r="22" spans="1:7">
      <c r="A22" s="70">
        <v>46209.125</v>
      </c>
      <c r="B22" t="s">
        <v>152</v>
      </c>
      <c r="C22">
        <v>2</v>
      </c>
      <c r="D22">
        <v>3</v>
      </c>
      <c r="E22" t="s">
        <v>194</v>
      </c>
      <c r="F22" t="s">
        <v>154</v>
      </c>
      <c r="G22" t="s">
        <v>270</v>
      </c>
    </row>
    <row r="23" spans="1:7">
      <c r="A23" s="70">
        <v>46209.875</v>
      </c>
      <c r="B23" t="s">
        <v>192</v>
      </c>
      <c r="C23">
        <v>0</v>
      </c>
      <c r="D23">
        <v>1</v>
      </c>
      <c r="E23" t="s">
        <v>179</v>
      </c>
      <c r="F23" t="s">
        <v>154</v>
      </c>
      <c r="G23" t="s">
        <v>170</v>
      </c>
    </row>
    <row r="24" spans="1:7">
      <c r="A24" s="70">
        <v>46210.083333333336</v>
      </c>
      <c r="B24" t="s">
        <v>162</v>
      </c>
      <c r="C24">
        <v>1</v>
      </c>
      <c r="D24">
        <v>4</v>
      </c>
      <c r="E24" t="s">
        <v>181</v>
      </c>
      <c r="F24" t="s">
        <v>154</v>
      </c>
      <c r="G24" t="s">
        <v>209</v>
      </c>
    </row>
    <row r="25" spans="1:7">
      <c r="A25" s="70">
        <v>46210.75</v>
      </c>
      <c r="B25" t="s">
        <v>189</v>
      </c>
      <c r="C25">
        <v>3</v>
      </c>
      <c r="D25">
        <v>2</v>
      </c>
      <c r="E25" t="s">
        <v>182</v>
      </c>
      <c r="F25" t="s">
        <v>154</v>
      </c>
      <c r="G25" t="s">
        <v>223</v>
      </c>
    </row>
    <row r="26" spans="1:7">
      <c r="A26" s="70">
        <v>46210.916666666664</v>
      </c>
      <c r="B26" t="s">
        <v>166</v>
      </c>
      <c r="C26">
        <v>0</v>
      </c>
      <c r="D26">
        <v>0</v>
      </c>
      <c r="E26" t="s">
        <v>196</v>
      </c>
      <c r="F26" t="s">
        <v>154</v>
      </c>
      <c r="G26" t="s">
        <v>271</v>
      </c>
    </row>
    <row r="27" spans="1:7">
      <c r="A27" s="70">
        <v>46212.916666666664</v>
      </c>
      <c r="B27" t="s">
        <v>186</v>
      </c>
      <c r="C27">
        <v>2</v>
      </c>
      <c r="D27">
        <v>0</v>
      </c>
      <c r="E27" t="s">
        <v>168</v>
      </c>
      <c r="F27" t="s">
        <v>154</v>
      </c>
      <c r="G27" t="s">
        <v>155</v>
      </c>
    </row>
    <row r="28" spans="1:7">
      <c r="A28" s="70">
        <v>46213.875</v>
      </c>
      <c r="B28" t="s">
        <v>179</v>
      </c>
      <c r="C28">
        <v>2</v>
      </c>
      <c r="D28">
        <v>1</v>
      </c>
      <c r="E28" t="s">
        <v>181</v>
      </c>
      <c r="F28" t="s">
        <v>154</v>
      </c>
      <c r="G28" t="s">
        <v>158</v>
      </c>
    </row>
    <row r="29" spans="1:7">
      <c r="A29" s="70">
        <v>46214.958333333336</v>
      </c>
      <c r="B29" t="s">
        <v>188</v>
      </c>
      <c r="C29">
        <v>1</v>
      </c>
      <c r="D29">
        <v>2</v>
      </c>
      <c r="E29" t="s">
        <v>194</v>
      </c>
      <c r="F29" t="s">
        <v>154</v>
      </c>
      <c r="G29" t="s">
        <v>272</v>
      </c>
    </row>
    <row r="30" spans="1:7">
      <c r="A30" s="70">
        <v>46215.125</v>
      </c>
      <c r="B30" t="s">
        <v>189</v>
      </c>
      <c r="C30">
        <v>3</v>
      </c>
      <c r="D30">
        <v>1</v>
      </c>
      <c r="E30" t="s">
        <v>166</v>
      </c>
      <c r="F30" t="s">
        <v>154</v>
      </c>
      <c r="G30" t="s">
        <v>273</v>
      </c>
    </row>
    <row r="31" spans="1:7">
      <c r="A31" s="70">
        <v>46217.875</v>
      </c>
      <c r="B31" t="s">
        <v>186</v>
      </c>
      <c r="E31" t="s">
        <v>179</v>
      </c>
      <c r="F31" t="s">
        <v>257</v>
      </c>
      <c r="G31" t="s">
        <v>258</v>
      </c>
    </row>
    <row r="32" spans="1:7">
      <c r="A32" s="70">
        <v>46218.875</v>
      </c>
      <c r="B32" t="s">
        <v>194</v>
      </c>
      <c r="E32" t="s">
        <v>189</v>
      </c>
      <c r="F32" t="s">
        <v>257</v>
      </c>
      <c r="G32" t="s">
        <v>259</v>
      </c>
    </row>
    <row r="33" spans="1:7">
      <c r="A33" s="70">
        <v>46221.958333333336</v>
      </c>
      <c r="B33" t="s">
        <v>66</v>
      </c>
      <c r="E33" t="s">
        <v>67</v>
      </c>
      <c r="F33" t="s">
        <v>257</v>
      </c>
      <c r="G33" t="s">
        <v>260</v>
      </c>
    </row>
    <row r="34" spans="1:7">
      <c r="A34" s="70">
        <v>46222.875</v>
      </c>
      <c r="B34" t="s">
        <v>68</v>
      </c>
      <c r="E34" t="s">
        <v>69</v>
      </c>
      <c r="F34" t="s">
        <v>257</v>
      </c>
      <c r="G34" t="s">
        <v>261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4D71AB-9848-4D87-931D-2E11B86673E7}">
  <sheetPr codeName="Arkusz9">
    <tabColor rgb="FF66FFCC"/>
  </sheetPr>
  <dimension ref="A1:I38"/>
  <sheetViews>
    <sheetView workbookViewId="0">
      <selection sqref="A1:C7"/>
    </sheetView>
  </sheetViews>
  <sheetFormatPr defaultRowHeight="13.2"/>
  <cols>
    <col min="1" max="1" width="16.88671875" bestFit="1" customWidth="1"/>
    <col min="2" max="3" width="16.109375" bestFit="1" customWidth="1"/>
    <col min="4" max="4" width="6.33203125" hidden="1" customWidth="1"/>
    <col min="5" max="5" width="2.5546875" hidden="1" customWidth="1"/>
    <col min="6" max="6" width="5.33203125" hidden="1" customWidth="1"/>
  </cols>
  <sheetData>
    <row r="1" spans="1:9">
      <c r="A1" t="s">
        <v>75</v>
      </c>
      <c r="B1" t="s">
        <v>32</v>
      </c>
      <c r="C1" t="s">
        <v>33</v>
      </c>
      <c r="D1" s="127" t="s">
        <v>134</v>
      </c>
      <c r="E1" s="128"/>
      <c r="F1" s="128"/>
    </row>
    <row r="2" spans="1:9">
      <c r="A2" t="s">
        <v>76</v>
      </c>
      <c r="B2" t="s">
        <v>66</v>
      </c>
      <c r="C2" t="s">
        <v>67</v>
      </c>
      <c r="D2" s="107"/>
      <c r="E2" s="111" t="s">
        <v>0</v>
      </c>
      <c r="F2" s="107"/>
    </row>
    <row r="3" spans="1:9">
      <c r="D3" s="107"/>
      <c r="E3" s="111" t="s">
        <v>0</v>
      </c>
      <c r="F3" s="107"/>
      <c r="I3" s="42" t="s">
        <v>254</v>
      </c>
    </row>
    <row r="4" spans="1:9">
      <c r="A4" t="s">
        <v>77</v>
      </c>
      <c r="B4" t="s">
        <v>68</v>
      </c>
      <c r="C4" t="s">
        <v>69</v>
      </c>
      <c r="D4" s="107"/>
      <c r="E4" s="111" t="s">
        <v>0</v>
      </c>
      <c r="F4" s="107"/>
      <c r="I4" s="42" t="s">
        <v>255</v>
      </c>
    </row>
    <row r="5" spans="1:9">
      <c r="D5" s="107"/>
      <c r="E5" s="111" t="s">
        <v>0</v>
      </c>
      <c r="F5" s="107"/>
      <c r="I5" s="42" t="s">
        <v>256</v>
      </c>
    </row>
    <row r="6" spans="1:9">
      <c r="D6" s="107"/>
      <c r="E6" s="111" t="s">
        <v>0</v>
      </c>
      <c r="F6" s="107"/>
    </row>
    <row r="7" spans="1:9">
      <c r="D7" s="107"/>
      <c r="E7" s="111" t="s">
        <v>0</v>
      </c>
      <c r="F7" s="107"/>
    </row>
    <row r="8" spans="1:9">
      <c r="D8" s="107"/>
      <c r="E8" s="111" t="s">
        <v>0</v>
      </c>
      <c r="F8" s="107"/>
    </row>
    <row r="9" spans="1:9">
      <c r="D9" s="107"/>
      <c r="E9" s="111" t="s">
        <v>0</v>
      </c>
      <c r="F9" s="107"/>
    </row>
    <row r="10" spans="1:9">
      <c r="D10" s="107"/>
      <c r="E10" s="111" t="s">
        <v>0</v>
      </c>
      <c r="F10" s="107"/>
    </row>
    <row r="11" spans="1:9">
      <c r="D11" s="107"/>
      <c r="E11" s="111" t="s">
        <v>0</v>
      </c>
      <c r="F11" s="107"/>
    </row>
    <row r="12" spans="1:9">
      <c r="D12" s="107"/>
      <c r="E12" s="111" t="s">
        <v>0</v>
      </c>
      <c r="F12" s="107"/>
    </row>
    <row r="13" spans="1:9">
      <c r="D13" s="107"/>
      <c r="E13" s="111" t="s">
        <v>0</v>
      </c>
      <c r="F13" s="107"/>
    </row>
    <row r="14" spans="1:9">
      <c r="D14" s="107"/>
      <c r="E14" s="111" t="s">
        <v>0</v>
      </c>
      <c r="F14" s="107"/>
    </row>
    <row r="15" spans="1:9">
      <c r="D15" s="107"/>
      <c r="E15" s="111" t="s">
        <v>0</v>
      </c>
      <c r="F15" s="107"/>
    </row>
    <row r="16" spans="1:9">
      <c r="D16" s="107"/>
      <c r="E16" s="111" t="s">
        <v>0</v>
      </c>
      <c r="F16" s="107"/>
    </row>
    <row r="17" spans="4:6">
      <c r="D17" s="107"/>
      <c r="E17" s="111" t="s">
        <v>0</v>
      </c>
      <c r="F17" s="107"/>
    </row>
    <row r="19" spans="4:6">
      <c r="D19" s="108"/>
      <c r="E19" s="111" t="s">
        <v>0</v>
      </c>
      <c r="F19" s="108"/>
    </row>
    <row r="20" spans="4:6">
      <c r="D20" s="108"/>
      <c r="E20" s="111" t="s">
        <v>0</v>
      </c>
      <c r="F20" s="108"/>
    </row>
    <row r="21" spans="4:6">
      <c r="D21" s="108"/>
      <c r="E21" s="111" t="s">
        <v>0</v>
      </c>
      <c r="F21" s="108"/>
    </row>
    <row r="22" spans="4:6">
      <c r="D22" s="108"/>
      <c r="E22" s="111" t="s">
        <v>0</v>
      </c>
      <c r="F22" s="108"/>
    </row>
    <row r="23" spans="4:6">
      <c r="D23" s="108"/>
      <c r="E23" s="111" t="s">
        <v>0</v>
      </c>
      <c r="F23" s="108"/>
    </row>
    <row r="24" spans="4:6">
      <c r="D24" s="108"/>
      <c r="E24" s="111" t="s">
        <v>0</v>
      </c>
      <c r="F24" s="108"/>
    </row>
    <row r="25" spans="4:6">
      <c r="D25" s="108"/>
      <c r="E25" s="111" t="s">
        <v>0</v>
      </c>
      <c r="F25" s="108"/>
    </row>
    <row r="26" spans="4:6">
      <c r="D26" s="108"/>
      <c r="E26" s="111" t="s">
        <v>0</v>
      </c>
      <c r="F26" s="108"/>
    </row>
    <row r="27" spans="4:6">
      <c r="E27" s="111"/>
    </row>
    <row r="28" spans="4:6">
      <c r="D28" s="109"/>
      <c r="E28" s="111" t="s">
        <v>0</v>
      </c>
      <c r="F28" s="109"/>
    </row>
    <row r="29" spans="4:6">
      <c r="D29" s="109"/>
      <c r="E29" s="111" t="s">
        <v>0</v>
      </c>
      <c r="F29" s="109"/>
    </row>
    <row r="30" spans="4:6">
      <c r="D30" s="109"/>
      <c r="E30" s="111" t="s">
        <v>0</v>
      </c>
      <c r="F30" s="109"/>
    </row>
    <row r="31" spans="4:6">
      <c r="D31" s="109"/>
      <c r="E31" s="111" t="s">
        <v>0</v>
      </c>
      <c r="F31" s="109"/>
    </row>
    <row r="32" spans="4:6">
      <c r="E32" s="111"/>
    </row>
    <row r="33" spans="4:6">
      <c r="D33" s="110"/>
      <c r="E33" s="111" t="s">
        <v>0</v>
      </c>
      <c r="F33" s="110"/>
    </row>
    <row r="34" spans="4:6">
      <c r="D34" s="110"/>
      <c r="E34" s="111" t="s">
        <v>0</v>
      </c>
      <c r="F34" s="110"/>
    </row>
    <row r="35" spans="4:6">
      <c r="E35" s="111"/>
    </row>
    <row r="36" spans="4:6">
      <c r="D36" s="45"/>
      <c r="E36" s="111" t="s">
        <v>0</v>
      </c>
      <c r="F36" s="45"/>
    </row>
    <row r="37" spans="4:6">
      <c r="E37" s="111"/>
    </row>
    <row r="38" spans="4:6">
      <c r="D38" s="106"/>
      <c r="E38" s="111" t="s">
        <v>0</v>
      </c>
      <c r="F38" s="106"/>
    </row>
  </sheetData>
  <mergeCells count="1">
    <mergeCell ref="D1:F1"/>
  </mergeCells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AF9A64-648A-4F1F-B091-7B635D43AF99}">
  <sheetPr codeName="Arkusz4"/>
  <dimension ref="A1:F76"/>
  <sheetViews>
    <sheetView workbookViewId="0">
      <pane xSplit="1" ySplit="2" topLeftCell="B51" activePane="bottomRight" state="frozen"/>
      <selection pane="topRight" activeCell="B1" sqref="B1"/>
      <selection pane="bottomLeft" activeCell="A3" sqref="A3"/>
      <selection pane="bottomRight" activeCell="C79" sqref="C79"/>
    </sheetView>
  </sheetViews>
  <sheetFormatPr defaultRowHeight="13.2"/>
  <cols>
    <col min="1" max="1" width="17" customWidth="1"/>
    <col min="2" max="2" width="22.44140625" customWidth="1"/>
    <col min="3" max="3" width="30.44140625" customWidth="1"/>
    <col min="4" max="4" width="7.109375" customWidth="1"/>
    <col min="5" max="5" width="2.21875" customWidth="1"/>
    <col min="6" max="6" width="7.109375" customWidth="1"/>
  </cols>
  <sheetData>
    <row r="1" spans="1:6" ht="23.4" customHeight="1" thickBot="1">
      <c r="A1" s="70"/>
      <c r="B1" s="79" t="s">
        <v>126</v>
      </c>
      <c r="C1" s="80"/>
    </row>
    <row r="2" spans="1:6" ht="18" customHeight="1" thickBot="1">
      <c r="A2" s="72" t="s">
        <v>9</v>
      </c>
      <c r="B2" s="122" t="s">
        <v>22</v>
      </c>
      <c r="C2" s="123"/>
      <c r="D2" s="124" t="s">
        <v>2</v>
      </c>
      <c r="E2" s="125"/>
      <c r="F2" s="126"/>
    </row>
    <row r="3" spans="1:6" ht="13.8">
      <c r="A3" s="71">
        <v>46184.875</v>
      </c>
      <c r="B3" s="32" t="s">
        <v>93</v>
      </c>
      <c r="C3" s="33" t="s">
        <v>94</v>
      </c>
      <c r="D3" s="43"/>
      <c r="E3" s="44" t="s">
        <v>0</v>
      </c>
      <c r="F3" s="43"/>
    </row>
    <row r="4" spans="1:6" ht="13.8">
      <c r="A4" s="71">
        <v>46185.166666666664</v>
      </c>
      <c r="B4" s="32" t="s">
        <v>95</v>
      </c>
      <c r="C4" s="33" t="s">
        <v>96</v>
      </c>
      <c r="D4" s="43"/>
      <c r="E4" s="44" t="s">
        <v>0</v>
      </c>
      <c r="F4" s="43"/>
    </row>
    <row r="5" spans="1:6" ht="13.8">
      <c r="A5" s="71">
        <v>46185.875</v>
      </c>
      <c r="B5" s="32" t="s">
        <v>97</v>
      </c>
      <c r="C5" s="33" t="s">
        <v>98</v>
      </c>
      <c r="D5" s="43"/>
      <c r="E5" s="44" t="s">
        <v>0</v>
      </c>
      <c r="F5" s="43"/>
    </row>
    <row r="6" spans="1:6" ht="13.8">
      <c r="A6" s="71">
        <v>46186.125</v>
      </c>
      <c r="B6" s="32" t="s">
        <v>99</v>
      </c>
      <c r="C6" s="33" t="s">
        <v>100</v>
      </c>
      <c r="D6" s="43"/>
      <c r="E6" s="44" t="s">
        <v>0</v>
      </c>
      <c r="F6" s="43"/>
    </row>
    <row r="7" spans="1:6" ht="13.8">
      <c r="A7" s="71">
        <v>46186.875</v>
      </c>
      <c r="B7" s="32" t="s">
        <v>101</v>
      </c>
      <c r="C7" s="33" t="s">
        <v>87</v>
      </c>
      <c r="D7" s="43"/>
      <c r="E7" s="44" t="s">
        <v>0</v>
      </c>
      <c r="F7" s="43"/>
    </row>
    <row r="8" spans="1:6" ht="13.8">
      <c r="A8" s="71">
        <v>46187</v>
      </c>
      <c r="B8" s="32" t="s">
        <v>102</v>
      </c>
      <c r="C8" s="33" t="s">
        <v>103</v>
      </c>
      <c r="D8" s="43"/>
      <c r="E8" s="44" t="s">
        <v>0</v>
      </c>
      <c r="F8" s="43"/>
    </row>
    <row r="9" spans="1:6" ht="13.8">
      <c r="A9" s="71">
        <v>46187.125</v>
      </c>
      <c r="B9" s="32" t="s">
        <v>78</v>
      </c>
      <c r="C9" s="33" t="s">
        <v>88</v>
      </c>
      <c r="D9" s="43"/>
      <c r="E9" s="44" t="s">
        <v>0</v>
      </c>
      <c r="F9" s="43"/>
    </row>
    <row r="10" spans="1:6" ht="13.8">
      <c r="A10" s="71">
        <v>46187.25</v>
      </c>
      <c r="B10" s="32" t="s">
        <v>79</v>
      </c>
      <c r="C10" s="33" t="s">
        <v>89</v>
      </c>
      <c r="D10" s="43"/>
      <c r="E10" s="44" t="s">
        <v>0</v>
      </c>
      <c r="F10" s="43"/>
    </row>
    <row r="11" spans="1:6" ht="13.8">
      <c r="A11" s="71">
        <v>46187.791666666664</v>
      </c>
      <c r="B11" s="32" t="s">
        <v>104</v>
      </c>
      <c r="C11" s="33" t="s">
        <v>84</v>
      </c>
      <c r="D11" s="43"/>
      <c r="E11" s="44" t="s">
        <v>0</v>
      </c>
      <c r="F11" s="43"/>
    </row>
    <row r="12" spans="1:6" ht="13.8">
      <c r="A12" s="71">
        <v>46187.916666666664</v>
      </c>
      <c r="B12" s="32" t="s">
        <v>90</v>
      </c>
      <c r="C12" s="33" t="s">
        <v>105</v>
      </c>
      <c r="D12" s="43"/>
      <c r="E12" s="44" t="s">
        <v>0</v>
      </c>
      <c r="F12" s="43"/>
    </row>
    <row r="13" spans="1:6" ht="13.8">
      <c r="A13" s="71">
        <v>46188.041666666664</v>
      </c>
      <c r="B13" s="32" t="s">
        <v>106</v>
      </c>
      <c r="C13" s="33" t="s">
        <v>107</v>
      </c>
      <c r="D13" s="43"/>
      <c r="E13" s="44" t="s">
        <v>0</v>
      </c>
      <c r="F13" s="43"/>
    </row>
    <row r="14" spans="1:6" ht="13.8">
      <c r="A14" s="71">
        <v>46188.166666666664</v>
      </c>
      <c r="B14" s="32" t="s">
        <v>108</v>
      </c>
      <c r="C14" s="33" t="s">
        <v>109</v>
      </c>
      <c r="D14" s="43"/>
      <c r="E14" s="44" t="s">
        <v>0</v>
      </c>
      <c r="F14" s="43"/>
    </row>
    <row r="15" spans="1:6" ht="13.8">
      <c r="A15" s="71">
        <v>46188.75</v>
      </c>
      <c r="B15" s="32" t="s">
        <v>91</v>
      </c>
      <c r="C15" s="33" t="s">
        <v>110</v>
      </c>
      <c r="D15" s="43"/>
      <c r="E15" s="44" t="s">
        <v>0</v>
      </c>
      <c r="F15" s="43"/>
    </row>
    <row r="16" spans="1:6" ht="13.8">
      <c r="A16" s="71">
        <v>46188.875</v>
      </c>
      <c r="B16" s="32" t="s">
        <v>111</v>
      </c>
      <c r="C16" s="33" t="s">
        <v>112</v>
      </c>
      <c r="D16" s="43"/>
      <c r="E16" s="44" t="s">
        <v>0</v>
      </c>
      <c r="F16" s="43"/>
    </row>
    <row r="17" spans="1:6" ht="13.8">
      <c r="A17" s="71">
        <v>46189</v>
      </c>
      <c r="B17" s="32" t="s">
        <v>113</v>
      </c>
      <c r="C17" s="33" t="s">
        <v>114</v>
      </c>
      <c r="D17" s="43"/>
      <c r="E17" s="44" t="s">
        <v>0</v>
      </c>
      <c r="F17" s="43"/>
    </row>
    <row r="18" spans="1:6" ht="13.8">
      <c r="A18" s="71">
        <v>46189.125</v>
      </c>
      <c r="B18" s="32" t="s">
        <v>80</v>
      </c>
      <c r="C18" s="33" t="s">
        <v>115</v>
      </c>
      <c r="D18" s="43"/>
      <c r="E18" s="44" t="s">
        <v>0</v>
      </c>
      <c r="F18" s="43"/>
    </row>
    <row r="19" spans="1:6" ht="13.8">
      <c r="A19" s="71">
        <v>46189.875</v>
      </c>
      <c r="B19" s="32" t="s">
        <v>116</v>
      </c>
      <c r="C19" s="33" t="s">
        <v>85</v>
      </c>
      <c r="D19" s="43"/>
      <c r="E19" s="44" t="s">
        <v>0</v>
      </c>
      <c r="F19" s="43"/>
    </row>
    <row r="20" spans="1:6" ht="13.8">
      <c r="A20" s="71">
        <v>46190</v>
      </c>
      <c r="B20" s="32" t="s">
        <v>117</v>
      </c>
      <c r="C20" s="33" t="s">
        <v>118</v>
      </c>
      <c r="D20" s="43"/>
      <c r="E20" s="44" t="s">
        <v>0</v>
      </c>
      <c r="F20" s="43"/>
    </row>
    <row r="21" spans="1:6" ht="13.8">
      <c r="A21" s="71">
        <v>46190.125</v>
      </c>
      <c r="B21" s="32" t="s">
        <v>119</v>
      </c>
      <c r="C21" s="33" t="s">
        <v>120</v>
      </c>
      <c r="D21" s="43"/>
      <c r="E21" s="44" t="s">
        <v>0</v>
      </c>
      <c r="F21" s="43"/>
    </row>
    <row r="22" spans="1:6" ht="13.8">
      <c r="A22" s="71">
        <v>46190.25</v>
      </c>
      <c r="B22" s="32" t="s">
        <v>81</v>
      </c>
      <c r="C22" s="33" t="s">
        <v>121</v>
      </c>
      <c r="D22" s="43"/>
      <c r="E22" s="44" t="s">
        <v>0</v>
      </c>
      <c r="F22" s="43"/>
    </row>
    <row r="23" spans="1:6" ht="13.8">
      <c r="A23" s="71">
        <v>46190.791666666664</v>
      </c>
      <c r="B23" s="32" t="s">
        <v>122</v>
      </c>
      <c r="C23" s="33" t="s">
        <v>123</v>
      </c>
      <c r="D23" s="43"/>
      <c r="E23" s="44" t="s">
        <v>0</v>
      </c>
      <c r="F23" s="43"/>
    </row>
    <row r="24" spans="1:6" ht="13.8">
      <c r="A24" s="71">
        <v>46190.916666666664</v>
      </c>
      <c r="B24" s="32" t="s">
        <v>124</v>
      </c>
      <c r="C24" s="33" t="s">
        <v>92</v>
      </c>
      <c r="D24" s="43"/>
      <c r="E24" s="44" t="s">
        <v>0</v>
      </c>
      <c r="F24" s="43"/>
    </row>
    <row r="25" spans="1:6" ht="13.8">
      <c r="A25" s="71">
        <v>46191.041666666664</v>
      </c>
      <c r="B25" s="32" t="s">
        <v>83</v>
      </c>
      <c r="C25" s="33" t="s">
        <v>86</v>
      </c>
      <c r="D25" s="43"/>
      <c r="E25" s="44" t="s">
        <v>0</v>
      </c>
      <c r="F25" s="43"/>
    </row>
    <row r="26" spans="1:6" ht="14.4" thickBot="1">
      <c r="A26" s="71">
        <v>46191.166666666664</v>
      </c>
      <c r="B26" s="32" t="s">
        <v>82</v>
      </c>
      <c r="C26" s="33" t="s">
        <v>125</v>
      </c>
      <c r="D26" s="43"/>
      <c r="E26" s="44" t="s">
        <v>0</v>
      </c>
      <c r="F26" s="43"/>
    </row>
    <row r="27" spans="1:6" ht="13.8" thickBot="1">
      <c r="A27" s="72" t="s">
        <v>10</v>
      </c>
      <c r="B27" s="48"/>
      <c r="C27" s="49"/>
      <c r="D27" s="50"/>
      <c r="E27" s="51"/>
      <c r="F27" s="50"/>
    </row>
    <row r="28" spans="1:6" ht="13.8">
      <c r="A28" s="71">
        <v>46191.75</v>
      </c>
      <c r="B28" s="40" t="s">
        <v>96</v>
      </c>
      <c r="C28" s="41" t="s">
        <v>94</v>
      </c>
      <c r="D28" s="43"/>
      <c r="E28" s="44" t="s">
        <v>0</v>
      </c>
      <c r="F28" s="43"/>
    </row>
    <row r="29" spans="1:6" ht="13.8">
      <c r="A29" s="71">
        <v>46191.875</v>
      </c>
      <c r="B29" s="40" t="s">
        <v>87</v>
      </c>
      <c r="C29" s="41" t="s">
        <v>98</v>
      </c>
      <c r="D29" s="43"/>
      <c r="E29" s="44" t="s">
        <v>0</v>
      </c>
      <c r="F29" s="43"/>
    </row>
    <row r="30" spans="1:6" ht="13.8">
      <c r="A30" s="71">
        <v>46192.125</v>
      </c>
      <c r="B30" s="40" t="s">
        <v>93</v>
      </c>
      <c r="C30" s="41" t="s">
        <v>95</v>
      </c>
      <c r="D30" s="43"/>
      <c r="E30" s="44" t="s">
        <v>0</v>
      </c>
      <c r="F30" s="43"/>
    </row>
    <row r="31" spans="1:6" ht="13.8">
      <c r="A31" s="71">
        <v>46192</v>
      </c>
      <c r="B31" s="40" t="s">
        <v>97</v>
      </c>
      <c r="C31" s="41" t="s">
        <v>101</v>
      </c>
      <c r="D31" s="43"/>
      <c r="E31" s="44" t="s">
        <v>0</v>
      </c>
      <c r="F31" s="43"/>
    </row>
    <row r="32" spans="1:6" ht="13.8">
      <c r="A32" s="71">
        <v>46192.875</v>
      </c>
      <c r="B32" s="40" t="s">
        <v>99</v>
      </c>
      <c r="C32" s="41" t="s">
        <v>79</v>
      </c>
      <c r="D32" s="43"/>
      <c r="E32" s="44" t="s">
        <v>0</v>
      </c>
      <c r="F32" s="43"/>
    </row>
    <row r="33" spans="1:6" ht="13.8">
      <c r="A33" s="71">
        <v>46193</v>
      </c>
      <c r="B33" s="40" t="s">
        <v>88</v>
      </c>
      <c r="C33" s="41" t="s">
        <v>103</v>
      </c>
      <c r="D33" s="43"/>
      <c r="E33" s="44" t="s">
        <v>0</v>
      </c>
      <c r="F33" s="43"/>
    </row>
    <row r="34" spans="1:6" ht="13.8">
      <c r="A34" s="71">
        <v>46193.125</v>
      </c>
      <c r="B34" s="40" t="s">
        <v>102</v>
      </c>
      <c r="C34" s="41" t="s">
        <v>78</v>
      </c>
      <c r="D34" s="43"/>
      <c r="E34" s="44" t="s">
        <v>0</v>
      </c>
      <c r="F34" s="43"/>
    </row>
    <row r="35" spans="1:6" ht="13.8">
      <c r="A35" s="71">
        <v>46193.25</v>
      </c>
      <c r="B35" s="40" t="s">
        <v>89</v>
      </c>
      <c r="C35" s="41" t="s">
        <v>100</v>
      </c>
      <c r="D35" s="43"/>
      <c r="E35" s="44" t="s">
        <v>0</v>
      </c>
      <c r="F35" s="43"/>
    </row>
    <row r="36" spans="1:6" ht="13.8">
      <c r="A36" s="71">
        <v>46193.916666666664</v>
      </c>
      <c r="B36" s="40" t="s">
        <v>104</v>
      </c>
      <c r="C36" s="41" t="s">
        <v>106</v>
      </c>
      <c r="D36" s="43"/>
      <c r="E36" s="44" t="s">
        <v>0</v>
      </c>
      <c r="F36" s="43"/>
    </row>
    <row r="37" spans="1:6" ht="13.8">
      <c r="A37" s="71">
        <v>46193.791666666664</v>
      </c>
      <c r="B37" s="40" t="s">
        <v>90</v>
      </c>
      <c r="C37" s="41" t="s">
        <v>108</v>
      </c>
      <c r="D37" s="43"/>
      <c r="E37" s="44" t="s">
        <v>0</v>
      </c>
      <c r="F37" s="43"/>
    </row>
    <row r="38" spans="1:6" ht="13.8">
      <c r="A38" s="71">
        <v>46194.083333333336</v>
      </c>
      <c r="B38" s="40" t="s">
        <v>107</v>
      </c>
      <c r="C38" s="41" t="s">
        <v>84</v>
      </c>
      <c r="D38" s="43"/>
      <c r="E38" s="44" t="s">
        <v>0</v>
      </c>
      <c r="F38" s="43"/>
    </row>
    <row r="39" spans="1:6" ht="13.8">
      <c r="A39" s="71">
        <v>46194.25</v>
      </c>
      <c r="B39" s="40" t="s">
        <v>109</v>
      </c>
      <c r="C39" s="41" t="s">
        <v>105</v>
      </c>
      <c r="D39" s="43"/>
      <c r="E39" s="44" t="s">
        <v>0</v>
      </c>
      <c r="F39" s="43"/>
    </row>
    <row r="40" spans="1:6" ht="13.8">
      <c r="A40" s="71">
        <v>46194.875</v>
      </c>
      <c r="B40" s="40" t="s">
        <v>111</v>
      </c>
      <c r="C40" s="41" t="s">
        <v>80</v>
      </c>
      <c r="D40" s="43"/>
      <c r="E40" s="44" t="s">
        <v>0</v>
      </c>
      <c r="F40" s="43"/>
    </row>
    <row r="41" spans="1:6" ht="13.8">
      <c r="A41" s="71">
        <v>46194.75</v>
      </c>
      <c r="B41" s="40" t="s">
        <v>91</v>
      </c>
      <c r="C41" s="41" t="s">
        <v>113</v>
      </c>
      <c r="D41" s="43"/>
      <c r="E41" s="44" t="s">
        <v>0</v>
      </c>
      <c r="F41" s="43"/>
    </row>
    <row r="42" spans="1:6" ht="13.8">
      <c r="A42" s="71">
        <v>46195.125</v>
      </c>
      <c r="B42" s="40" t="s">
        <v>115</v>
      </c>
      <c r="C42" s="41" t="s">
        <v>112</v>
      </c>
      <c r="D42" s="43"/>
      <c r="E42" s="44" t="s">
        <v>0</v>
      </c>
      <c r="F42" s="43"/>
    </row>
    <row r="43" spans="1:6" ht="13.8">
      <c r="A43" s="71">
        <v>46195</v>
      </c>
      <c r="B43" s="40" t="s">
        <v>114</v>
      </c>
      <c r="C43" s="41" t="s">
        <v>110</v>
      </c>
      <c r="D43" s="43"/>
      <c r="E43" s="44" t="s">
        <v>0</v>
      </c>
      <c r="F43" s="43"/>
    </row>
    <row r="44" spans="1:6" ht="13.8">
      <c r="A44" s="71">
        <v>46195.958333333336</v>
      </c>
      <c r="B44" s="40" t="s">
        <v>116</v>
      </c>
      <c r="C44" s="41" t="s">
        <v>117</v>
      </c>
      <c r="D44" s="43"/>
      <c r="E44" s="44" t="s">
        <v>0</v>
      </c>
      <c r="F44" s="43"/>
    </row>
    <row r="45" spans="1:6" ht="13.8">
      <c r="A45" s="71">
        <v>46195.791666666664</v>
      </c>
      <c r="B45" s="40" t="s">
        <v>119</v>
      </c>
      <c r="C45" s="41" t="s">
        <v>81</v>
      </c>
      <c r="D45" s="43"/>
      <c r="E45" s="44" t="s">
        <v>0</v>
      </c>
      <c r="F45" s="43"/>
    </row>
    <row r="46" spans="1:6" ht="13.8">
      <c r="A46" s="71">
        <v>46196.083333333336</v>
      </c>
      <c r="B46" s="40" t="s">
        <v>118</v>
      </c>
      <c r="C46" s="41" t="s">
        <v>85</v>
      </c>
      <c r="D46" s="43"/>
      <c r="E46" s="44" t="s">
        <v>0</v>
      </c>
      <c r="F46" s="43"/>
    </row>
    <row r="47" spans="1:6" ht="13.8">
      <c r="A47" s="71">
        <v>46196.208333333336</v>
      </c>
      <c r="B47" s="40" t="s">
        <v>121</v>
      </c>
      <c r="C47" s="41" t="s">
        <v>120</v>
      </c>
      <c r="D47" s="43"/>
      <c r="E47" s="44" t="s">
        <v>0</v>
      </c>
      <c r="F47" s="43"/>
    </row>
    <row r="48" spans="1:6" ht="13.8">
      <c r="A48" s="71">
        <v>46196.791666666664</v>
      </c>
      <c r="B48" s="40" t="s">
        <v>122</v>
      </c>
      <c r="C48" s="41" t="s">
        <v>82</v>
      </c>
      <c r="D48" s="43"/>
      <c r="E48" s="44" t="s">
        <v>0</v>
      </c>
      <c r="F48" s="43"/>
    </row>
    <row r="49" spans="1:6" ht="13.8">
      <c r="A49" s="71">
        <v>46196.916666666664</v>
      </c>
      <c r="B49" s="40" t="s">
        <v>124</v>
      </c>
      <c r="C49" s="41" t="s">
        <v>83</v>
      </c>
      <c r="D49" s="43"/>
      <c r="E49" s="44" t="s">
        <v>0</v>
      </c>
      <c r="F49" s="43"/>
    </row>
    <row r="50" spans="1:6" ht="13.8">
      <c r="A50" s="71">
        <v>46197.166666666664</v>
      </c>
      <c r="B50" s="40" t="s">
        <v>125</v>
      </c>
      <c r="C50" s="41" t="s">
        <v>123</v>
      </c>
      <c r="D50" s="43"/>
      <c r="E50" s="44" t="s">
        <v>0</v>
      </c>
      <c r="F50" s="43"/>
    </row>
    <row r="51" spans="1:6" ht="14.4" thickBot="1">
      <c r="A51" s="71">
        <v>46197.041666666664</v>
      </c>
      <c r="B51" s="40" t="s">
        <v>86</v>
      </c>
      <c r="C51" s="41" t="s">
        <v>92</v>
      </c>
      <c r="D51" s="43"/>
      <c r="E51" s="44" t="s">
        <v>0</v>
      </c>
      <c r="F51" s="43"/>
    </row>
    <row r="52" spans="1:6" ht="13.8" thickBot="1">
      <c r="A52" s="72" t="s">
        <v>11</v>
      </c>
      <c r="B52" s="55"/>
      <c r="C52" s="55"/>
      <c r="D52" s="50"/>
      <c r="E52" s="51"/>
      <c r="F52" s="50"/>
    </row>
    <row r="53" spans="1:6" ht="13.8">
      <c r="A53" s="71">
        <v>46197.75</v>
      </c>
      <c r="B53" s="34" t="s">
        <v>87</v>
      </c>
      <c r="C53" s="35" t="s">
        <v>97</v>
      </c>
      <c r="D53" s="43"/>
      <c r="E53" s="44" t="s">
        <v>0</v>
      </c>
      <c r="F53" s="43"/>
    </row>
    <row r="54" spans="1:6" ht="13.8">
      <c r="A54" s="71">
        <v>46197.75</v>
      </c>
      <c r="B54" s="34" t="s">
        <v>98</v>
      </c>
      <c r="C54" s="35" t="s">
        <v>101</v>
      </c>
      <c r="D54" s="43"/>
      <c r="E54" s="44" t="s">
        <v>0</v>
      </c>
      <c r="F54" s="43"/>
    </row>
    <row r="55" spans="1:6" ht="13.8">
      <c r="A55" s="71">
        <v>46198.125</v>
      </c>
      <c r="B55" s="34" t="s">
        <v>96</v>
      </c>
      <c r="C55" s="35" t="s">
        <v>93</v>
      </c>
      <c r="D55" s="43"/>
      <c r="E55" s="44" t="s">
        <v>0</v>
      </c>
      <c r="F55" s="43"/>
    </row>
    <row r="56" spans="1:6" ht="13.8">
      <c r="A56" s="71">
        <v>46198.125</v>
      </c>
      <c r="B56" s="34" t="s">
        <v>94</v>
      </c>
      <c r="C56" s="35" t="s">
        <v>95</v>
      </c>
      <c r="D56" s="43"/>
      <c r="E56" s="44" t="s">
        <v>0</v>
      </c>
      <c r="F56" s="43"/>
    </row>
    <row r="57" spans="1:6" ht="13.8">
      <c r="A57" s="71">
        <v>46198.75</v>
      </c>
      <c r="B57" s="34" t="s">
        <v>88</v>
      </c>
      <c r="C57" s="35" t="s">
        <v>102</v>
      </c>
      <c r="D57" s="43"/>
      <c r="E57" s="44" t="s">
        <v>0</v>
      </c>
      <c r="F57" s="43"/>
    </row>
    <row r="58" spans="1:6" ht="13.8">
      <c r="A58" s="71">
        <v>46198.75</v>
      </c>
      <c r="B58" s="34" t="s">
        <v>103</v>
      </c>
      <c r="C58" s="35" t="s">
        <v>78</v>
      </c>
      <c r="D58" s="43"/>
      <c r="E58" s="44" t="s">
        <v>0</v>
      </c>
      <c r="F58" s="43"/>
    </row>
    <row r="59" spans="1:6" ht="13.8">
      <c r="A59" s="71">
        <v>46198.916666666664</v>
      </c>
      <c r="B59" s="34" t="s">
        <v>84</v>
      </c>
      <c r="C59" s="35" t="s">
        <v>106</v>
      </c>
      <c r="D59" s="43"/>
      <c r="E59" s="44" t="s">
        <v>0</v>
      </c>
      <c r="F59" s="43"/>
    </row>
    <row r="60" spans="1:6" ht="13.8">
      <c r="A60" s="71">
        <v>46198.916666666664</v>
      </c>
      <c r="B60" s="34" t="s">
        <v>107</v>
      </c>
      <c r="C60" s="35" t="s">
        <v>104</v>
      </c>
      <c r="D60" s="43"/>
      <c r="E60" s="44" t="s">
        <v>0</v>
      </c>
      <c r="F60" s="43"/>
    </row>
    <row r="61" spans="1:6" ht="13.8">
      <c r="A61" s="71">
        <v>46199.125</v>
      </c>
      <c r="B61" s="34" t="s">
        <v>89</v>
      </c>
      <c r="C61" s="35" t="s">
        <v>99</v>
      </c>
      <c r="D61" s="43"/>
      <c r="E61" s="44" t="s">
        <v>0</v>
      </c>
      <c r="F61" s="43"/>
    </row>
    <row r="62" spans="1:6" ht="13.8">
      <c r="A62" s="71">
        <v>46199.125</v>
      </c>
      <c r="B62" s="34" t="s">
        <v>100</v>
      </c>
      <c r="C62" s="35" t="s">
        <v>79</v>
      </c>
      <c r="D62" s="43"/>
      <c r="E62" s="44" t="s">
        <v>0</v>
      </c>
      <c r="F62" s="43"/>
    </row>
    <row r="63" spans="1:6" ht="13.8">
      <c r="A63" s="71">
        <v>46199.791666666664</v>
      </c>
      <c r="B63" s="34" t="s">
        <v>105</v>
      </c>
      <c r="C63" s="35" t="s">
        <v>108</v>
      </c>
      <c r="D63" s="43"/>
      <c r="E63" s="44" t="s">
        <v>0</v>
      </c>
      <c r="F63" s="43"/>
    </row>
    <row r="64" spans="1:6" ht="13.8">
      <c r="A64" s="71">
        <v>46199.791666666664</v>
      </c>
      <c r="B64" s="34" t="s">
        <v>109</v>
      </c>
      <c r="C64" s="35" t="s">
        <v>90</v>
      </c>
      <c r="D64" s="43"/>
      <c r="E64" s="44" t="s">
        <v>0</v>
      </c>
      <c r="F64" s="43"/>
    </row>
    <row r="65" spans="1:6" ht="13.8">
      <c r="A65" s="71">
        <v>46199.958333333336</v>
      </c>
      <c r="B65" s="34" t="s">
        <v>118</v>
      </c>
      <c r="C65" s="35" t="s">
        <v>116</v>
      </c>
      <c r="D65" s="43"/>
      <c r="E65" s="44" t="s">
        <v>0</v>
      </c>
      <c r="F65" s="43"/>
    </row>
    <row r="66" spans="1:6" ht="13.8">
      <c r="A66" s="71">
        <v>46199.958333333336</v>
      </c>
      <c r="B66" s="34" t="s">
        <v>85</v>
      </c>
      <c r="C66" s="35" t="s">
        <v>117</v>
      </c>
      <c r="D66" s="43"/>
      <c r="E66" s="44" t="s">
        <v>0</v>
      </c>
      <c r="F66" s="43"/>
    </row>
    <row r="67" spans="1:6" ht="13.8">
      <c r="A67" s="71">
        <v>46200.875</v>
      </c>
      <c r="B67" s="34" t="s">
        <v>112</v>
      </c>
      <c r="C67" s="35" t="s">
        <v>80</v>
      </c>
      <c r="D67" s="43"/>
      <c r="E67" s="44" t="s">
        <v>0</v>
      </c>
      <c r="F67" s="43"/>
    </row>
    <row r="68" spans="1:6" ht="13.8">
      <c r="A68" s="71">
        <v>46200.875</v>
      </c>
      <c r="B68" s="34" t="s">
        <v>115</v>
      </c>
      <c r="C68" s="35" t="s">
        <v>111</v>
      </c>
      <c r="D68" s="43"/>
      <c r="E68" s="44" t="s">
        <v>0</v>
      </c>
      <c r="F68" s="43"/>
    </row>
    <row r="69" spans="1:6" ht="13.8">
      <c r="A69" s="71">
        <v>46200.75</v>
      </c>
      <c r="B69" s="34" t="s">
        <v>110</v>
      </c>
      <c r="C69" s="35" t="s">
        <v>113</v>
      </c>
      <c r="D69" s="43"/>
      <c r="E69" s="44" t="s">
        <v>0</v>
      </c>
      <c r="F69" s="43"/>
    </row>
    <row r="70" spans="1:6" ht="13.8">
      <c r="A70" s="71">
        <v>46200.75</v>
      </c>
      <c r="B70" s="34" t="s">
        <v>114</v>
      </c>
      <c r="C70" s="35" t="s">
        <v>91</v>
      </c>
      <c r="D70" s="43"/>
      <c r="E70" s="44" t="s">
        <v>0</v>
      </c>
      <c r="F70" s="43"/>
    </row>
    <row r="71" spans="1:6" ht="13.8">
      <c r="A71" s="71">
        <v>46200.916666666664</v>
      </c>
      <c r="B71" s="34" t="s">
        <v>86</v>
      </c>
      <c r="C71" s="35" t="s">
        <v>124</v>
      </c>
      <c r="D71" s="43"/>
      <c r="E71" s="44" t="s">
        <v>0</v>
      </c>
      <c r="F71" s="43"/>
    </row>
    <row r="72" spans="1:6" ht="13.8">
      <c r="A72" s="71">
        <v>46200.916666666664</v>
      </c>
      <c r="B72" s="34" t="s">
        <v>92</v>
      </c>
      <c r="C72" s="35" t="s">
        <v>83</v>
      </c>
      <c r="D72" s="43"/>
      <c r="E72" s="44" t="s">
        <v>0</v>
      </c>
      <c r="F72" s="43"/>
    </row>
    <row r="73" spans="1:6" ht="13.8">
      <c r="A73" s="71">
        <v>46201.791666666664</v>
      </c>
      <c r="B73" s="34" t="s">
        <v>120</v>
      </c>
      <c r="C73" s="35" t="s">
        <v>81</v>
      </c>
      <c r="D73" s="43"/>
      <c r="E73" s="44" t="s">
        <v>0</v>
      </c>
      <c r="F73" s="43"/>
    </row>
    <row r="74" spans="1:6" ht="13.8">
      <c r="A74" s="71">
        <v>46201.791666666664</v>
      </c>
      <c r="B74" s="36" t="s">
        <v>121</v>
      </c>
      <c r="C74" s="37" t="s">
        <v>119</v>
      </c>
      <c r="D74" s="43"/>
      <c r="E74" s="44" t="s">
        <v>0</v>
      </c>
      <c r="F74" s="43"/>
    </row>
    <row r="75" spans="1:6" ht="13.8">
      <c r="A75" s="71">
        <v>46201.916666666664</v>
      </c>
      <c r="B75" s="36" t="s">
        <v>125</v>
      </c>
      <c r="C75" s="37" t="s">
        <v>122</v>
      </c>
      <c r="D75" s="43"/>
      <c r="E75" s="44" t="s">
        <v>0</v>
      </c>
      <c r="F75" s="43"/>
    </row>
    <row r="76" spans="1:6" ht="14.4" thickBot="1">
      <c r="A76" s="71">
        <v>46201.916666666664</v>
      </c>
      <c r="B76" s="38" t="s">
        <v>123</v>
      </c>
      <c r="C76" s="39" t="s">
        <v>82</v>
      </c>
      <c r="D76" s="43"/>
      <c r="E76" s="44" t="s">
        <v>0</v>
      </c>
      <c r="F76" s="43"/>
    </row>
  </sheetData>
  <mergeCells count="2">
    <mergeCell ref="B2:C2"/>
    <mergeCell ref="D2:F2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3AAE1AE-9C09-4901-92CB-0580364AE7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7</vt:i4>
      </vt:variant>
      <vt:variant>
        <vt:lpstr>Nazwane zakresy</vt:lpstr>
      </vt:variant>
      <vt:variant>
        <vt:i4>2</vt:i4>
      </vt:variant>
    </vt:vector>
  </HeadingPairs>
  <TitlesOfParts>
    <vt:vector size="9" baseType="lpstr">
      <vt:lpstr>Faz_Puchar</vt:lpstr>
      <vt:lpstr>Obstawienia</vt:lpstr>
      <vt:lpstr>Tabele_Grup_A_L</vt:lpstr>
      <vt:lpstr>Wyniki_Meczow_2026</vt:lpstr>
      <vt:lpstr>Wyniki_Faz_Puchar</vt:lpstr>
      <vt:lpstr>Faz_Puch_TAB_2026</vt:lpstr>
      <vt:lpstr>1</vt:lpstr>
      <vt:lpstr>Faz_Puchar!Obszar_wydruku</vt:lpstr>
      <vt:lpstr>Obstawienia!Obszar_wydruku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Mariusz M</dc:creator>
  <cp:lastModifiedBy>Mariusz Maksymiuk</cp:lastModifiedBy>
  <cp:lastPrinted>2016-07-07T20:56:06Z</cp:lastPrinted>
  <dcterms:created xsi:type="dcterms:W3CDTF">2016-06-24T19:29:24Z</dcterms:created>
  <dcterms:modified xsi:type="dcterms:W3CDTF">2026-07-13T18:40:04Z</dcterms:modified>
</cp:coreProperties>
</file>