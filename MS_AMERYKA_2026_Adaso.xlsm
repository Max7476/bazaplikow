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ILKA_NOZNA\"/>
    </mc:Choice>
  </mc:AlternateContent>
  <xr:revisionPtr revIDLastSave="0" documentId="13_ncr:1_{42DEE1C0-12B9-4D83-A479-B30FC973F16A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Faz_Puch_TAB_2026!$A$1:$C$7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37" i="28" l="1"/>
  <c r="B37" i="28"/>
  <c r="C35" i="28"/>
  <c r="B35" i="28"/>
  <c r="C34" i="28"/>
  <c r="B34" i="28"/>
  <c r="C39" i="28"/>
  <c r="B39" i="28"/>
  <c r="CE39" i="28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C27" i="28"/>
  <c r="X27" i="28"/>
  <c r="S27" i="28"/>
  <c r="N27" i="28"/>
  <c r="I27" i="28"/>
  <c r="M27" i="28" s="1"/>
  <c r="G27" i="28"/>
  <c r="AG27" i="28" s="1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R23" i="28"/>
  <c r="AM23" i="28"/>
  <c r="AQ23" i="28" s="1"/>
  <c r="AH23" i="28"/>
  <c r="AG23" i="28"/>
  <c r="AC23" i="28"/>
  <c r="X23" i="28"/>
  <c r="S23" i="28"/>
  <c r="R23" i="28"/>
  <c r="N23" i="28"/>
  <c r="I23" i="28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R22" i="28"/>
  <c r="AQ22" i="28"/>
  <c r="AM22" i="28"/>
  <c r="AH22" i="28"/>
  <c r="AC22" i="28"/>
  <c r="X22" i="28"/>
  <c r="S22" i="28"/>
  <c r="N22" i="28"/>
  <c r="I22" i="28"/>
  <c r="G22" i="28"/>
  <c r="AV22" i="28" s="1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H21" i="28"/>
  <c r="AC21" i="28"/>
  <c r="X21" i="28"/>
  <c r="S21" i="28"/>
  <c r="N21" i="28"/>
  <c r="I21" i="28"/>
  <c r="G21" i="28"/>
  <c r="AL21" i="28" s="1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X20" i="28"/>
  <c r="S20" i="28"/>
  <c r="N20" i="28"/>
  <c r="I20" i="28"/>
  <c r="G20" i="28"/>
  <c r="AB20" i="28" s="1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M15" i="28"/>
  <c r="AQ15" i="28" s="1"/>
  <c r="AH15" i="28"/>
  <c r="AC15" i="28"/>
  <c r="X15" i="28"/>
  <c r="S15" i="28"/>
  <c r="N15" i="28"/>
  <c r="R15" i="28" s="1"/>
  <c r="I15" i="28"/>
  <c r="G15" i="28"/>
  <c r="M15" i="28" s="1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R14" i="28"/>
  <c r="AM14" i="28"/>
  <c r="AQ14" i="28" s="1"/>
  <c r="AH14" i="28"/>
  <c r="AC14" i="28"/>
  <c r="X14" i="28"/>
  <c r="S14" i="28"/>
  <c r="N14" i="28"/>
  <c r="R14" i="28" s="1"/>
  <c r="I14" i="28"/>
  <c r="G14" i="28"/>
  <c r="M14" i="28" s="1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X13" i="28"/>
  <c r="S13" i="28"/>
  <c r="N13" i="28"/>
  <c r="R13" i="28" s="1"/>
  <c r="I13" i="28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M12" i="28"/>
  <c r="AH12" i="28"/>
  <c r="AC12" i="28"/>
  <c r="AB12" i="28"/>
  <c r="X12" i="28"/>
  <c r="S12" i="28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H11" i="28"/>
  <c r="AC11" i="28"/>
  <c r="X11" i="28"/>
  <c r="S11" i="28"/>
  <c r="N11" i="28"/>
  <c r="I11" i="28"/>
  <c r="G11" i="28"/>
  <c r="AL11" i="28" s="1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M7" i="28"/>
  <c r="AQ7" i="28" s="1"/>
  <c r="AH7" i="28"/>
  <c r="AL7" i="28" s="1"/>
  <c r="AC7" i="28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H3" i="28"/>
  <c r="AC3" i="28"/>
  <c r="X3" i="28"/>
  <c r="S3" i="28"/>
  <c r="N3" i="28"/>
  <c r="I3" i="28"/>
  <c r="G3" i="28"/>
  <c r="AL3" i="28" s="1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W27" i="28" l="1"/>
  <c r="AV23" i="28"/>
  <c r="W23" i="28"/>
  <c r="AV14" i="28"/>
  <c r="AG13" i="28"/>
  <c r="AG10" i="28"/>
  <c r="AV8" i="28"/>
  <c r="AG7" i="28"/>
  <c r="AV5" i="28"/>
  <c r="M26" i="28"/>
  <c r="AB25" i="28"/>
  <c r="M23" i="28"/>
  <c r="AL22" i="28"/>
  <c r="AV7" i="28"/>
  <c r="W13" i="28"/>
  <c r="AB13" i="28"/>
  <c r="W15" i="28"/>
  <c r="AB15" i="28"/>
  <c r="AG15" i="28"/>
  <c r="AL15" i="28"/>
  <c r="AV15" i="28"/>
  <c r="AB14" i="28"/>
  <c r="AG14" i="28"/>
  <c r="M13" i="28"/>
  <c r="W12" i="28"/>
  <c r="AL12" i="28"/>
  <c r="AV12" i="28"/>
  <c r="M11" i="28"/>
  <c r="AB11" i="28"/>
  <c r="AG11" i="28"/>
  <c r="M10" i="28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refreshOnLoa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<sst xmlns="http://schemas.openxmlformats.org/spreadsheetml/2006/main" count="2748" uniqueCount="281">
  <si>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</si>
  <si>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</si>
  <si>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</si>
  <si>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</si>
  <si>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</si>
  <si>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</si>
  <si>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</si>
  <si>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</si>
  <si>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</si>
  <si>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</si>
  <si>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</si>
  <si>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</si>
  <si>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</si>
  <si>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</si>
  <si>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</si>
  <si>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</si>
  <si>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</si>
  <si>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</si>
  <si>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</si>
  <si>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</si>
  <si>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</si>
  <si>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</si>
  <si>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</si>
  <si>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</si>
  <si>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</si>
  <si>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</si>
  <si>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</si>
  <si>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</si>
  <si>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</si>
  <si>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</si>
  <si>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</si>
  <si>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</si>
  <si>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</si>
  <si>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</si>
  <si>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</si>
  <si>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</si>
  <si>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</si>
  <si>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</si>
  <si>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</si>
  <si>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</si>
  <si>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</si>
  <si>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</si>
  <si>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</si>
  <si>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</si>
  <si>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</si>
  <si>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</si>
  <si>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</si>
  <si>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</si>
  <si>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</si>
  <si>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</si>
  <si>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</si>
  <si>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</si>
  <si>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</si>
  <si>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</si>
  <si>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</si>
  <si>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</si>
  <si>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</si>
  <si>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</si>
  <si>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</si>
  <si>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</si>
  <si>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</si>
  <si>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</si>
  <si>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</si>
  <si>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</si>
  <si>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</si>
  <si>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</si>
  <si>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</si>
  <si>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</si>
  <si>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</si>
  <si>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</si>
  <si>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</si>
  <si>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</si>
  <si>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</si>
  <si>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</si>
  <si>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</si>
  <si>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</si>
  <si>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</si>
  <si>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</si>
  <si>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</si>
  <si>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</si>
  <si>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</si>
  <si>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</si>
  <si>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</si>
  <si>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</si>
  <si>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</si>
  <si>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</si>
  <si>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</si>
  <si>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</si>
  <si>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</si>
  <si>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</si>
  <si>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</si>
  <si>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</si>
  <si>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</si>
  <si>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</si>
  <si>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</si>
  <si>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</si>
  <si>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</si>
  <si>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</si>
  <si>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</si>
  <si>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</si>
  <si>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</si>
  <si>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</si>
  <si>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</si>
  <si>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</si>
  <si>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</si>
  <si>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</si>
  <si>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</si>
  <si>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</si>
  <si>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</si>
  <si>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</si>
  <si>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</si>
  <si>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</si>
  <si>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</si>
  <si>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</si>
  <si>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</si>
  <si>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</si>
  <si>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</si>
  <si>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</si>
  <si>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</si>
  <si>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</si>
  <si>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</si>
  <si>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</si>
  <si>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</si>
  <si>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</si>
  <si>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</si>
  <si>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</si>
  <si>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</si>
  <si>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</si>
  <si>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</si>
  <si>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</si>
  <si>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</si>
  <si>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</si>
  <si>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</si>
  <si>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</si>
  <si>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</si>
  <si>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</si>
  <si>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</si>
  <si>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</si>
  <si>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</si>
  <si>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</si>
  <si>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</si>
  <si>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</si>
  <si>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</si>
  <si>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</si>
  <si>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</si>
  <si>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</si>
  <si>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</si>
  <si>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</si>
  <si>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</si>
  <si>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</si>
  <si>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</si>
  <si>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</si>
  <si>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</si>
  <si>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</si>
  <si>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</si>
  <si>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</si>
  <si>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</si>
  <si>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</si>
  <si>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</si>
  <si>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</si>
  <si>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</si>
  <si>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</si>
  <si>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</si>
  <si>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</si>
  <si>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</si>
  <si>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</si>
  <si>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</si>
  <si>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</si>
  <si>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</si>
  <si>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</si>
  <si>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</si>
  <si>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</si>
  <si>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</si>
  <si>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</si>
  <si>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</si>
  <si>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</si>
  <si>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</si>
  <si>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</si>
  <si>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</si>
  <si>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</si>
  <si>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</si>
  <si>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</si>
  <si>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</si>
  <si>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</si>
  <si>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</si>
  <si>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</si>
  <si>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</si>
  <si>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</si>
  <si>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</si>
  <si>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</si>
  <si>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</si>
  <si>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</si>
  <si>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</si>
  <si>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</si>
  <si>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</si>
  <si>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</si>
  <si>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</si>
  <si>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</si>
  <si>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</si>
  <si>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</si>
  <si>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</si>
  <si>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</si>
  <si>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</si>
  <si>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</si>
  <si>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</si>
  <si>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</si>
  <si>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</si>
  <si>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</si>
  <si>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</si>
  <si>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</si>
  <si>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</si>
  <si>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</si>
  <si>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</si>
  <si>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</si>
  <si>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</si>
  <si>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</si>
  <si>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</si>
  <si>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</si>
  <si>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</si>
  <si>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</si>
  <si>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</si>
  <si>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</si>
  <si>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</si>
  <si>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</si>
  <si>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</si>
  <si>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</si>
  <si>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</si>
  <si>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</si>
  <si>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</si>
  <si>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</si>
  <si>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</si>
  <si>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</si>
  <si>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Germany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</si>
  <si>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</si>
  <si>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</si>
  <si>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</si>
  <si>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</si>
  <si>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</si>
  <si>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</si>
  <si>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</si>
  <si>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</si>
  <si>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</si>
  <si>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</si>
  <si>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</si>
  <si>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</si>
  <si>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</si>
  <si>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</si>
  <si>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</si>
  <si>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</si>
  <si>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</si>
  <si>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</si>
  <si>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</si>
  <si>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</si>
  <si>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</si>
  <si>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</si>
  <si>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</si>
  <si>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</si>
  <si>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</si>
  <si>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</si>
  <si>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</si>
  <si>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</si>
  <si>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</si>
  <si>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</si>
  <si>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</si>
  <si>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</si>
  <si>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</si>
  <si>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</si>
  <si>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</si>
  <si>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</si>
  <si>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</si>
  <si>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</si>
  <si>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</si>
  <si>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</si>
  <si>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</si>
  <si>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</si>
  <si>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</si>
  <si>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</si>
  <si>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</si>
  <si>
    <t>3–2 (a.e.t.)</t>
  </si>
  <si>
    <t>2–3</t>
  </si>
  <si>
    <t>0–0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</si>
</sst>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29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21" fillId="12" borderId="0" xfId="0" applyFont="1" applyFill="1" applyAlignment="1" applyProtection="1">
      <alignment horizontal="center" vertical="center"/>
      <protection locked="0"/>
    </xf>
    <xf numFmtId="0" fontId="21" fillId="12" borderId="0" xfId="0" applyFont="1" applyFill="1" applyAlignment="1" applyProtection="1">
      <alignment vertical="center"/>
      <protection locked="0"/>
    </xf>
    <xf numFmtId="1" fontId="21" fillId="12" borderId="0" xfId="0" applyNumberFormat="1" applyFont="1" applyFill="1" applyAlignment="1" applyProtection="1">
      <alignment horizontal="center" vertical="center"/>
      <protection locked="0"/>
    </xf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10"/>
    <tableColumn id="2" xr3:uid="{A8434D65-BD5A-40A4-AB8C-908BD3BCE0CF}" uniqueName="2" name="Drużyna 1" queryTableFieldId="2" dataDxfId="9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8"/>
    <tableColumn id="6" xr3:uid="{46DDAF9F-B423-4A0B-9FB8-E1E417FEEDD8}" uniqueName="6" name="Status" queryTableFieldId="6" dataDxfId="7"/>
    <tableColumn id="7" xr3:uid="{4B6D9EA7-8C31-459F-941F-1380B43A34EF}" uniqueName="7" name="Wynik źródłowy" queryTableFieldId="7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5"/>
    <tableColumn id="2" xr3:uid="{8D6813E6-A9C5-41B5-AF34-E22CE0A973F5}" uniqueName="2" name="Drużyna 1" queryTableFieldId="2" dataDxfId="4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3"/>
    <tableColumn id="6" xr3:uid="{8A2DF5E4-B005-4BA3-A943-EA57E90411AC}" uniqueName="6" name="Status" queryTableFieldId="6" dataDxfId="2"/>
    <tableColumn id="7" xr3:uid="{1E270396-072E-4FB3-A368-A2E77ED1DAF6}" uniqueName="7" name="Wynik źródłowy" queryTableFieldId="7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7" tableType="queryTable" totalsRowShown="0">
  <autoFilter ref="A1:C7" xr:uid="{508AD245-E700-4DB4-8F27-6B8DD654475D}"/>
  <tableColumns count="3">
    <tableColumn id="3" xr3:uid="{923EA52D-12BF-4E4C-A263-1EFB0231ED03}" uniqueName="3" name="Runda" queryTableFieldId="3" dataDxfId="0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12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254</v>
      </c>
      <c r="B2" s="122" t="s">
        <v>22</v>
      </c>
      <c r="C2" s="123"/>
      <c r="D2" s="124" t="s">
        <v>2</v>
      </c>
      <c r="E2" s="125"/>
      <c r="F2" s="126"/>
      <c r="H2" s="45"/>
      <c r="J2" s="119" t="s">
        <v>1</v>
      </c>
      <c r="K2" s="120"/>
      <c r="L2" s="120"/>
      <c r="M2" s="121"/>
      <c r="N2" s="97"/>
      <c r="O2" s="119" t="s">
        <v>271</v>
      </c>
      <c r="P2" s="120"/>
      <c r="Q2" s="120"/>
      <c r="R2" s="121"/>
      <c r="S2" s="97"/>
      <c r="T2" s="119" t="s">
        <v>7</v>
      </c>
      <c r="U2" s="120"/>
      <c r="V2" s="120"/>
      <c r="W2" s="121"/>
      <c r="X2" s="97"/>
      <c r="Y2" s="119" t="s">
        <v>138</v>
      </c>
      <c r="Z2" s="120"/>
      <c r="AA2" s="120"/>
      <c r="AB2" s="121"/>
      <c r="AC2" s="97"/>
      <c r="AD2" s="119" t="s">
        <v>133</v>
      </c>
      <c r="AE2" s="120"/>
      <c r="AF2" s="120"/>
      <c r="AG2" s="121"/>
      <c r="AH2" s="97"/>
      <c r="AI2" s="119" t="s">
        <v>5</v>
      </c>
      <c r="AJ2" s="120"/>
      <c r="AK2" s="120"/>
      <c r="AL2" s="121"/>
      <c r="AM2" s="97"/>
      <c r="AN2" s="119" t="s">
        <v>273</v>
      </c>
      <c r="AO2" s="120"/>
      <c r="AP2" s="120"/>
      <c r="AQ2" s="121"/>
      <c r="AR2" s="97"/>
      <c r="AS2" s="119" t="s">
        <v>145</v>
      </c>
      <c r="AT2" s="120"/>
      <c r="AU2" s="120"/>
      <c r="AV2" s="121"/>
      <c r="AW2" s="97"/>
      <c r="AX2" s="119" t="s">
        <v>274</v>
      </c>
      <c r="AY2" s="120"/>
      <c r="AZ2" s="120"/>
      <c r="BA2" s="121"/>
      <c r="BB2" s="97"/>
      <c r="BC2" s="119" t="s">
        <v>275</v>
      </c>
      <c r="BD2" s="120"/>
      <c r="BE2" s="120"/>
      <c r="BF2" s="121"/>
      <c r="BG2" s="97"/>
      <c r="BH2" s="119" t="s">
        <v>276</v>
      </c>
      <c r="BI2" s="120"/>
      <c r="BJ2" s="120"/>
      <c r="BK2" s="121"/>
      <c r="BL2" s="97"/>
      <c r="BM2" s="119" t="s">
        <v>272</v>
      </c>
      <c r="BN2" s="120"/>
      <c r="BO2" s="120"/>
      <c r="BP2" s="121"/>
      <c r="BQ2" s="97"/>
      <c r="BR2" s="119" t="s">
        <v>134</v>
      </c>
      <c r="BS2" s="120"/>
      <c r="BT2" s="120"/>
      <c r="BU2" s="121"/>
      <c r="BV2" s="97"/>
      <c r="BW2" s="119" t="s">
        <v>135</v>
      </c>
      <c r="BX2" s="120"/>
      <c r="BY2" s="120"/>
      <c r="BZ2" s="121"/>
      <c r="CA2" s="97"/>
      <c r="CB2" s="119" t="s">
        <v>136</v>
      </c>
      <c r="CC2" s="120"/>
      <c r="CD2" s="120"/>
      <c r="CE2" s="121"/>
    </row>
    <row r="3" spans="1:83" ht="13.5" customHeight="1" outlineLevel="1">
      <c r="A3" s="71">
        <v>46201.875</v>
      </c>
      <c r="B3" s="32" t="s">
        <v>158</v>
      </c>
      <c r="C3" s="33" t="s">
        <v>164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172</v>
      </c>
      <c r="C4" s="33" t="s">
        <v>179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177</v>
      </c>
      <c r="C5" s="33" t="s">
        <v>168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178</v>
      </c>
      <c r="C6" s="33" t="s">
        <v>173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191</v>
      </c>
      <c r="C7" s="33" t="s">
        <v>182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180</v>
      </c>
      <c r="C8" s="33" t="s">
        <v>193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157</v>
      </c>
      <c r="C9" s="33" t="s">
        <v>181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199</v>
      </c>
      <c r="C10" s="33" t="s">
        <v>198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186</v>
      </c>
      <c r="C11" s="33" t="s">
        <v>55</v>
      </c>
      <c r="D11" s="43">
        <v>3</v>
      </c>
      <c r="E11" s="44" t="s">
        <v>0</v>
      </c>
      <c r="F11" s="43">
        <v>2</v>
      </c>
      <c r="G11">
        <f t="shared" si="0"/>
        <v>2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1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167</v>
      </c>
      <c r="C12" s="33" t="s">
        <v>165</v>
      </c>
      <c r="D12" s="43">
        <v>2</v>
      </c>
      <c r="E12" s="44" t="s">
        <v>0</v>
      </c>
      <c r="F12" s="43">
        <v>0</v>
      </c>
      <c r="G12">
        <f t="shared" si="0"/>
        <v>2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1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1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184</v>
      </c>
      <c r="C13" s="33" t="s">
        <v>8</v>
      </c>
      <c r="D13" s="43">
        <v>3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1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1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197</v>
      </c>
      <c r="C14" s="33" t="s">
        <v>200</v>
      </c>
      <c r="D14" s="43">
        <v>2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3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3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171</v>
      </c>
      <c r="C15" s="33" t="s">
        <v>195</v>
      </c>
      <c r="D15" s="112">
        <v>2</v>
      </c>
      <c r="E15" s="44" t="s">
        <v>0</v>
      </c>
      <c r="F15" s="43">
        <v>0</v>
      </c>
      <c r="G15">
        <f t="shared" si="0"/>
        <v>2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1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1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1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1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1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187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1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3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3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194</v>
      </c>
      <c r="C17" s="33" t="s">
        <v>185</v>
      </c>
      <c r="D17" s="43">
        <v>3</v>
      </c>
      <c r="E17" s="44" t="s">
        <v>0</v>
      </c>
      <c r="F17" s="43">
        <v>2</v>
      </c>
      <c r="G17">
        <f t="shared" si="0"/>
        <v>2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1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1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1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1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1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1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201</v>
      </c>
      <c r="C18" s="33" t="s">
        <v>64</v>
      </c>
      <c r="D18" s="43">
        <v>1</v>
      </c>
      <c r="E18" s="44" t="s">
        <v>0</v>
      </c>
      <c r="F18" s="43">
        <v>0</v>
      </c>
      <c r="G18">
        <f t="shared" si="0"/>
        <v>2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3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1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1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253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customHeight="1" outlineLevel="1">
      <c r="A20" s="71">
        <v>46207.791666666664</v>
      </c>
      <c r="B20" s="40" t="s">
        <v>164</v>
      </c>
      <c r="C20" s="41" t="s">
        <v>173</v>
      </c>
      <c r="D20" s="112">
        <v>0</v>
      </c>
      <c r="E20" s="44" t="s">
        <v>0</v>
      </c>
      <c r="F20" s="43">
        <v>3</v>
      </c>
      <c r="G20">
        <f t="shared" si="0"/>
        <v>1</v>
      </c>
      <c r="H20" s="45"/>
      <c r="I20" s="97">
        <f t="shared" si="1"/>
        <v>2</v>
      </c>
      <c r="J20" s="56">
        <v>2</v>
      </c>
      <c r="K20" s="56" t="s">
        <v>0</v>
      </c>
      <c r="L20" s="57">
        <v>1</v>
      </c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2</v>
      </c>
      <c r="T20" s="56">
        <v>2</v>
      </c>
      <c r="U20" s="56" t="s">
        <v>0</v>
      </c>
      <c r="V20" s="57">
        <v>0</v>
      </c>
      <c r="W20" s="13">
        <f t="shared" si="32"/>
        <v>0</v>
      </c>
      <c r="X20" s="97">
        <f t="shared" si="4"/>
        <v>1</v>
      </c>
      <c r="Y20" s="74">
        <v>2</v>
      </c>
      <c r="Z20" s="56" t="s">
        <v>0</v>
      </c>
      <c r="AA20" s="76">
        <v>3</v>
      </c>
      <c r="AB20" s="13">
        <f t="shared" si="21"/>
        <v>1</v>
      </c>
      <c r="AC20" s="97">
        <f t="shared" si="5"/>
        <v>1</v>
      </c>
      <c r="AD20" s="56">
        <v>2</v>
      </c>
      <c r="AE20" s="56" t="s">
        <v>0</v>
      </c>
      <c r="AF20" s="57">
        <v>3</v>
      </c>
      <c r="AG20" s="13">
        <f t="shared" si="22"/>
        <v>1</v>
      </c>
      <c r="AH20" s="97">
        <f t="shared" si="6"/>
        <v>1</v>
      </c>
      <c r="AI20" s="56">
        <v>0</v>
      </c>
      <c r="AJ20" s="56" t="s">
        <v>0</v>
      </c>
      <c r="AK20" s="57">
        <v>1</v>
      </c>
      <c r="AL20" s="13">
        <f t="shared" si="23"/>
        <v>1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>
        <v>1</v>
      </c>
      <c r="AT20" s="56" t="s">
        <v>0</v>
      </c>
      <c r="AU20" s="57">
        <v>1</v>
      </c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outlineLevel="1">
      <c r="A21" s="71">
        <v>46207.958333333336</v>
      </c>
      <c r="B21" s="40" t="s">
        <v>168</v>
      </c>
      <c r="C21" s="41" t="s">
        <v>191</v>
      </c>
      <c r="D21" s="43">
        <v>0</v>
      </c>
      <c r="E21" s="44" t="s">
        <v>0</v>
      </c>
      <c r="F21" s="43">
        <v>1</v>
      </c>
      <c r="G21">
        <f t="shared" si="0"/>
        <v>1</v>
      </c>
      <c r="H21" s="45"/>
      <c r="I21" s="97">
        <f t="shared" si="1"/>
        <v>1</v>
      </c>
      <c r="J21" s="56">
        <v>1</v>
      </c>
      <c r="K21" s="56" t="s">
        <v>0</v>
      </c>
      <c r="L21" s="57">
        <v>3</v>
      </c>
      <c r="M21" s="2">
        <f t="shared" si="18"/>
        <v>1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1</v>
      </c>
      <c r="T21" s="56">
        <v>0</v>
      </c>
      <c r="U21" s="56" t="s">
        <v>0</v>
      </c>
      <c r="V21" s="57">
        <v>3</v>
      </c>
      <c r="W21" s="2">
        <f t="shared" si="32"/>
        <v>1</v>
      </c>
      <c r="X21" s="97">
        <f t="shared" si="4"/>
        <v>1</v>
      </c>
      <c r="Y21" s="74">
        <v>1</v>
      </c>
      <c r="Z21" s="56" t="s">
        <v>0</v>
      </c>
      <c r="AA21" s="76">
        <v>3</v>
      </c>
      <c r="AB21" s="2">
        <f t="shared" si="21"/>
        <v>1</v>
      </c>
      <c r="AC21" s="97">
        <f t="shared" si="5"/>
        <v>1</v>
      </c>
      <c r="AD21" s="56">
        <v>0</v>
      </c>
      <c r="AE21" s="56" t="s">
        <v>0</v>
      </c>
      <c r="AF21" s="57">
        <v>2</v>
      </c>
      <c r="AG21" s="2">
        <f t="shared" si="22"/>
        <v>1</v>
      </c>
      <c r="AH21" s="97">
        <f t="shared" si="6"/>
        <v>1</v>
      </c>
      <c r="AI21" s="56">
        <v>0</v>
      </c>
      <c r="AJ21" s="56" t="s">
        <v>0</v>
      </c>
      <c r="AK21" s="57">
        <v>4</v>
      </c>
      <c r="AL21" s="2">
        <f t="shared" si="23"/>
        <v>1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1</v>
      </c>
      <c r="AS21" s="56">
        <v>1</v>
      </c>
      <c r="AT21" s="56" t="s">
        <v>0</v>
      </c>
      <c r="AU21" s="57">
        <v>3</v>
      </c>
      <c r="AV21" s="2">
        <f t="shared" si="25"/>
        <v>1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outlineLevel="1">
      <c r="A22" s="71">
        <v>46208.916666666664</v>
      </c>
      <c r="B22" s="40" t="s">
        <v>172</v>
      </c>
      <c r="C22" s="41" t="s">
        <v>193</v>
      </c>
      <c r="D22" s="43">
        <v>1</v>
      </c>
      <c r="E22" s="44" t="s">
        <v>0</v>
      </c>
      <c r="F22" s="43">
        <v>2</v>
      </c>
      <c r="G22">
        <f t="shared" si="0"/>
        <v>1</v>
      </c>
      <c r="H22" s="45"/>
      <c r="I22" s="97">
        <f t="shared" si="1"/>
        <v>2</v>
      </c>
      <c r="J22" s="56">
        <v>2</v>
      </c>
      <c r="K22" s="56" t="s">
        <v>0</v>
      </c>
      <c r="L22" s="57">
        <v>1</v>
      </c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2</v>
      </c>
      <c r="T22" s="56">
        <v>2</v>
      </c>
      <c r="U22" s="56" t="s">
        <v>0</v>
      </c>
      <c r="V22" s="57">
        <v>1</v>
      </c>
      <c r="W22" s="2">
        <f t="shared" si="32"/>
        <v>0</v>
      </c>
      <c r="X22" s="97">
        <f t="shared" si="4"/>
        <v>2</v>
      </c>
      <c r="Y22" s="74">
        <v>2</v>
      </c>
      <c r="Z22" s="56" t="s">
        <v>0</v>
      </c>
      <c r="AA22" s="76">
        <v>1</v>
      </c>
      <c r="AB22" s="2">
        <f t="shared" si="21"/>
        <v>0</v>
      </c>
      <c r="AC22" s="97">
        <f t="shared" si="5"/>
        <v>3</v>
      </c>
      <c r="AD22" s="56">
        <v>2</v>
      </c>
      <c r="AE22" s="56" t="s">
        <v>0</v>
      </c>
      <c r="AF22" s="57">
        <v>2</v>
      </c>
      <c r="AG22" s="2">
        <f t="shared" si="22"/>
        <v>0</v>
      </c>
      <c r="AH22" s="97">
        <f t="shared" si="6"/>
        <v>1</v>
      </c>
      <c r="AI22" s="56">
        <v>1</v>
      </c>
      <c r="AJ22" s="56" t="s">
        <v>0</v>
      </c>
      <c r="AK22" s="57">
        <v>2</v>
      </c>
      <c r="AL22" s="2">
        <f t="shared" si="23"/>
        <v>3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2</v>
      </c>
      <c r="AS22" s="56">
        <v>3</v>
      </c>
      <c r="AT22" s="56" t="s">
        <v>0</v>
      </c>
      <c r="AU22" s="57">
        <v>1</v>
      </c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outlineLevel="1">
      <c r="A23" s="71">
        <v>46209.083333333336</v>
      </c>
      <c r="B23" s="40" t="s">
        <v>157</v>
      </c>
      <c r="C23" s="41" t="s">
        <v>199</v>
      </c>
      <c r="D23" s="43">
        <v>2</v>
      </c>
      <c r="E23" s="44" t="s">
        <v>0</v>
      </c>
      <c r="F23" s="43">
        <v>3</v>
      </c>
      <c r="G23">
        <f t="shared" si="0"/>
        <v>1</v>
      </c>
      <c r="H23" s="45"/>
      <c r="I23" s="97">
        <f t="shared" si="1"/>
        <v>3</v>
      </c>
      <c r="J23" s="56">
        <v>2</v>
      </c>
      <c r="K23" s="56" t="s">
        <v>0</v>
      </c>
      <c r="L23" s="57">
        <v>2</v>
      </c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1</v>
      </c>
      <c r="T23" s="56">
        <v>0</v>
      </c>
      <c r="U23" s="56" t="s">
        <v>0</v>
      </c>
      <c r="V23" s="57">
        <v>2</v>
      </c>
      <c r="W23" s="2">
        <f t="shared" si="32"/>
        <v>1</v>
      </c>
      <c r="X23" s="97">
        <f t="shared" si="4"/>
        <v>1</v>
      </c>
      <c r="Y23" s="74">
        <v>2</v>
      </c>
      <c r="Z23" s="56" t="s">
        <v>0</v>
      </c>
      <c r="AA23" s="76">
        <v>3</v>
      </c>
      <c r="AB23" s="2">
        <f t="shared" si="21"/>
        <v>3</v>
      </c>
      <c r="AC23" s="97">
        <f t="shared" si="5"/>
        <v>3</v>
      </c>
      <c r="AD23" s="56">
        <v>2</v>
      </c>
      <c r="AE23" s="56" t="s">
        <v>0</v>
      </c>
      <c r="AF23" s="57">
        <v>2</v>
      </c>
      <c r="AG23" s="2">
        <f t="shared" si="22"/>
        <v>0</v>
      </c>
      <c r="AH23" s="97">
        <f t="shared" si="6"/>
        <v>1</v>
      </c>
      <c r="AI23" s="56">
        <v>1</v>
      </c>
      <c r="AJ23" s="56" t="s">
        <v>0</v>
      </c>
      <c r="AK23" s="57">
        <v>2</v>
      </c>
      <c r="AL23" s="2">
        <f t="shared" si="23"/>
        <v>1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1</v>
      </c>
      <c r="AS23" s="56">
        <v>1</v>
      </c>
      <c r="AT23" s="56" t="s">
        <v>0</v>
      </c>
      <c r="AU23" s="57">
        <v>2</v>
      </c>
      <c r="AV23" s="2">
        <f t="shared" si="25"/>
        <v>1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outlineLevel="1">
      <c r="A24" s="71">
        <v>46209.875</v>
      </c>
      <c r="B24" s="40" t="s">
        <v>197</v>
      </c>
      <c r="C24" s="41" t="s">
        <v>184</v>
      </c>
      <c r="D24" s="43">
        <v>0</v>
      </c>
      <c r="E24" s="44" t="s">
        <v>0</v>
      </c>
      <c r="F24" s="43">
        <v>1</v>
      </c>
      <c r="G24">
        <f t="shared" si="0"/>
        <v>1</v>
      </c>
      <c r="H24" s="45"/>
      <c r="I24" s="97">
        <f t="shared" si="1"/>
        <v>1</v>
      </c>
      <c r="J24" s="56">
        <v>2</v>
      </c>
      <c r="K24" s="56" t="s">
        <v>0</v>
      </c>
      <c r="L24" s="57">
        <v>3</v>
      </c>
      <c r="M24" s="2">
        <f t="shared" si="18"/>
        <v>1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32"/>
        <v>0</v>
      </c>
      <c r="X24" s="97">
        <f t="shared" si="4"/>
        <v>1</v>
      </c>
      <c r="Y24" s="74">
        <v>2</v>
      </c>
      <c r="Z24" s="56" t="s">
        <v>0</v>
      </c>
      <c r="AA24" s="76">
        <v>3</v>
      </c>
      <c r="AB24" s="2">
        <f t="shared" si="21"/>
        <v>1</v>
      </c>
      <c r="AC24" s="97">
        <f t="shared" si="5"/>
        <v>3</v>
      </c>
      <c r="AD24" s="56">
        <v>2</v>
      </c>
      <c r="AE24" s="56" t="s">
        <v>0</v>
      </c>
      <c r="AF24" s="57">
        <v>2</v>
      </c>
      <c r="AG24" s="2">
        <f t="shared" si="22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1</v>
      </c>
      <c r="AS24" s="56">
        <v>1</v>
      </c>
      <c r="AT24" s="56" t="s">
        <v>0</v>
      </c>
      <c r="AU24" s="57">
        <v>2</v>
      </c>
      <c r="AV24" s="2">
        <f t="shared" si="25"/>
        <v>1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outlineLevel="1">
      <c r="A25" s="71">
        <v>46210.083333333336</v>
      </c>
      <c r="B25" s="40" t="s">
        <v>167</v>
      </c>
      <c r="C25" s="41" t="s">
        <v>186</v>
      </c>
      <c r="D25" s="43">
        <v>1</v>
      </c>
      <c r="E25" s="44" t="s">
        <v>0</v>
      </c>
      <c r="F25" s="43">
        <v>4</v>
      </c>
      <c r="G25">
        <f t="shared" si="0"/>
        <v>1</v>
      </c>
      <c r="H25" s="45"/>
      <c r="I25" s="97">
        <f t="shared" si="1"/>
        <v>1</v>
      </c>
      <c r="J25" s="56">
        <v>1</v>
      </c>
      <c r="K25" s="56" t="s">
        <v>0</v>
      </c>
      <c r="L25" s="57">
        <v>2</v>
      </c>
      <c r="M25" s="2">
        <f t="shared" si="18"/>
        <v>1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1</v>
      </c>
      <c r="T25" s="56">
        <v>0</v>
      </c>
      <c r="U25" s="56" t="s">
        <v>0</v>
      </c>
      <c r="V25" s="57">
        <v>1</v>
      </c>
      <c r="W25" s="2">
        <f t="shared" si="32"/>
        <v>1</v>
      </c>
      <c r="X25" s="97">
        <f t="shared" si="4"/>
        <v>2</v>
      </c>
      <c r="Y25" s="74">
        <v>2</v>
      </c>
      <c r="Z25" s="56" t="s">
        <v>0</v>
      </c>
      <c r="AA25" s="76">
        <v>0</v>
      </c>
      <c r="AB25" s="2">
        <f t="shared" si="21"/>
        <v>0</v>
      </c>
      <c r="AC25" s="97">
        <f t="shared" si="5"/>
        <v>3</v>
      </c>
      <c r="AD25" s="56">
        <v>2</v>
      </c>
      <c r="AE25" s="56" t="s">
        <v>0</v>
      </c>
      <c r="AF25" s="57">
        <v>2</v>
      </c>
      <c r="AG25" s="2">
        <f t="shared" si="22"/>
        <v>0</v>
      </c>
      <c r="AH25" s="97">
        <f t="shared" si="6"/>
        <v>2</v>
      </c>
      <c r="AI25" s="56">
        <v>2</v>
      </c>
      <c r="AJ25" s="56" t="s">
        <v>0</v>
      </c>
      <c r="AK25" s="57">
        <v>0</v>
      </c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2</v>
      </c>
      <c r="AS25" s="56">
        <v>3</v>
      </c>
      <c r="AT25" s="56" t="s">
        <v>0</v>
      </c>
      <c r="AU25" s="57">
        <v>0</v>
      </c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outlineLevel="1">
      <c r="A26" s="71">
        <v>46210.75</v>
      </c>
      <c r="B26" s="40" t="s">
        <v>194</v>
      </c>
      <c r="C26" s="41" t="s">
        <v>187</v>
      </c>
      <c r="D26" s="43">
        <v>3</v>
      </c>
      <c r="E26" s="44" t="s">
        <v>0</v>
      </c>
      <c r="F26" s="43">
        <v>2</v>
      </c>
      <c r="G26">
        <f t="shared" si="0"/>
        <v>2</v>
      </c>
      <c r="H26" s="45"/>
      <c r="I26" s="97">
        <f t="shared" si="1"/>
        <v>2</v>
      </c>
      <c r="J26" s="56">
        <v>3</v>
      </c>
      <c r="K26" s="56" t="s">
        <v>0</v>
      </c>
      <c r="L26" s="57">
        <v>1</v>
      </c>
      <c r="M26" s="2">
        <f t="shared" si="18"/>
        <v>1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2</v>
      </c>
      <c r="T26" s="56">
        <v>3</v>
      </c>
      <c r="U26" s="56" t="s">
        <v>0</v>
      </c>
      <c r="V26" s="57">
        <v>0</v>
      </c>
      <c r="W26" s="2">
        <f t="shared" si="32"/>
        <v>1</v>
      </c>
      <c r="X26" s="97">
        <f t="shared" si="4"/>
        <v>2</v>
      </c>
      <c r="Y26" s="74">
        <v>1</v>
      </c>
      <c r="Z26" s="56" t="s">
        <v>0</v>
      </c>
      <c r="AA26" s="76">
        <v>0</v>
      </c>
      <c r="AB26" s="2">
        <f t="shared" si="21"/>
        <v>1</v>
      </c>
      <c r="AC26" s="97">
        <f t="shared" si="5"/>
        <v>2</v>
      </c>
      <c r="AD26" s="56">
        <v>2</v>
      </c>
      <c r="AE26" s="56" t="s">
        <v>0</v>
      </c>
      <c r="AF26" s="57">
        <v>1</v>
      </c>
      <c r="AG26" s="2">
        <f t="shared" si="22"/>
        <v>1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2</v>
      </c>
      <c r="AS26" s="56">
        <v>3</v>
      </c>
      <c r="AT26" s="56" t="s">
        <v>0</v>
      </c>
      <c r="AU26" s="57">
        <v>0</v>
      </c>
      <c r="AV26" s="2">
        <f t="shared" si="25"/>
        <v>1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outlineLevel="1" thickBot="1">
      <c r="A27" s="71">
        <v>46210.916666666664</v>
      </c>
      <c r="B27" s="40" t="s">
        <v>171</v>
      </c>
      <c r="C27" s="41" t="s">
        <v>201</v>
      </c>
      <c r="D27" s="43">
        <v>0</v>
      </c>
      <c r="E27" s="44" t="s">
        <v>0</v>
      </c>
      <c r="F27" s="43">
        <v>0</v>
      </c>
      <c r="G27">
        <f t="shared" si="0"/>
        <v>3</v>
      </c>
      <c r="H27" s="45"/>
      <c r="I27" s="97">
        <f t="shared" si="1"/>
        <v>3</v>
      </c>
      <c r="J27" s="56">
        <v>1</v>
      </c>
      <c r="K27" s="56" t="s">
        <v>0</v>
      </c>
      <c r="L27" s="57">
        <v>1</v>
      </c>
      <c r="M27" s="2">
        <f t="shared" si="18"/>
        <v>1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1</v>
      </c>
      <c r="T27" s="56">
        <v>1</v>
      </c>
      <c r="U27" s="56" t="s">
        <v>0</v>
      </c>
      <c r="V27" s="57">
        <v>2</v>
      </c>
      <c r="W27" s="2">
        <f t="shared" si="32"/>
        <v>0</v>
      </c>
      <c r="X27" s="97">
        <f t="shared" si="4"/>
        <v>1</v>
      </c>
      <c r="Y27" s="74">
        <v>1</v>
      </c>
      <c r="Z27" s="56" t="s">
        <v>0</v>
      </c>
      <c r="AA27" s="76">
        <v>2</v>
      </c>
      <c r="AB27" s="2">
        <f t="shared" si="21"/>
        <v>0</v>
      </c>
      <c r="AC27" s="97">
        <f t="shared" si="5"/>
        <v>2</v>
      </c>
      <c r="AD27" s="56">
        <v>2</v>
      </c>
      <c r="AE27" s="56" t="s">
        <v>0</v>
      </c>
      <c r="AF27" s="57">
        <v>1</v>
      </c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2</v>
      </c>
      <c r="AS27" s="56">
        <v>2</v>
      </c>
      <c r="AT27" s="56" t="s">
        <v>0</v>
      </c>
      <c r="AU27" s="57">
        <v>1</v>
      </c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thickBot="1">
      <c r="A28" s="72" t="s">
        <v>255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customHeight="1" outlineLevel="2">
      <c r="A29" s="71">
        <v>46212.916666666664</v>
      </c>
      <c r="B29" s="34" t="s">
        <v>191</v>
      </c>
      <c r="C29" s="35" t="s">
        <v>173</v>
      </c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2</v>
      </c>
      <c r="J29" s="56">
        <v>3</v>
      </c>
      <c r="K29" s="56" t="s">
        <v>0</v>
      </c>
      <c r="L29" s="57">
        <v>1</v>
      </c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2</v>
      </c>
      <c r="T29" s="56">
        <v>3</v>
      </c>
      <c r="U29" s="56" t="s">
        <v>0</v>
      </c>
      <c r="V29" s="57">
        <v>0</v>
      </c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2</v>
      </c>
      <c r="Y29" s="74">
        <v>2</v>
      </c>
      <c r="Z29" s="56" t="s">
        <v>0</v>
      </c>
      <c r="AA29" s="76">
        <v>1</v>
      </c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2</v>
      </c>
      <c r="AD29" s="56">
        <v>3</v>
      </c>
      <c r="AE29" s="56" t="s">
        <v>0</v>
      </c>
      <c r="AF29" s="57">
        <v>1</v>
      </c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2</v>
      </c>
      <c r="AS29" s="56">
        <v>3</v>
      </c>
      <c r="AT29" s="56" t="s">
        <v>0</v>
      </c>
      <c r="AU29" s="57">
        <v>1</v>
      </c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customHeight="1" outlineLevel="2">
      <c r="A30" s="71">
        <v>46213.875</v>
      </c>
      <c r="B30" s="34" t="s">
        <v>184</v>
      </c>
      <c r="C30" s="35" t="s">
        <v>186</v>
      </c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2</v>
      </c>
      <c r="J30" s="56">
        <v>2</v>
      </c>
      <c r="K30" s="56" t="s">
        <v>0</v>
      </c>
      <c r="L30" s="57">
        <v>1</v>
      </c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>
        <v>2</v>
      </c>
      <c r="U30" s="56" t="s">
        <v>0</v>
      </c>
      <c r="V30" s="57">
        <v>2</v>
      </c>
      <c r="W30" s="13">
        <f t="shared" si="46"/>
        <v>0</v>
      </c>
      <c r="X30" s="97">
        <f t="shared" si="47"/>
        <v>1</v>
      </c>
      <c r="Y30" s="74">
        <v>1</v>
      </c>
      <c r="Z30" s="56" t="s">
        <v>0</v>
      </c>
      <c r="AA30" s="76">
        <v>2</v>
      </c>
      <c r="AB30" s="13">
        <f t="shared" si="48"/>
        <v>0</v>
      </c>
      <c r="AC30" s="97">
        <f t="shared" si="49"/>
        <v>2</v>
      </c>
      <c r="AD30" s="56">
        <v>2</v>
      </c>
      <c r="AE30" s="56" t="s">
        <v>0</v>
      </c>
      <c r="AF30" s="57">
        <v>1</v>
      </c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2</v>
      </c>
      <c r="AS30" s="56">
        <v>2</v>
      </c>
      <c r="AT30" s="56" t="s">
        <v>0</v>
      </c>
      <c r="AU30" s="57">
        <v>1</v>
      </c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customHeight="1" outlineLevel="2">
      <c r="A31" s="71">
        <v>46214.958333333336</v>
      </c>
      <c r="B31" s="34" t="s">
        <v>193</v>
      </c>
      <c r="C31" s="35" t="s">
        <v>199</v>
      </c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1</v>
      </c>
      <c r="J31" s="56">
        <v>1</v>
      </c>
      <c r="K31" s="56" t="s">
        <v>0</v>
      </c>
      <c r="L31" s="57">
        <v>2</v>
      </c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>
        <v>1</v>
      </c>
      <c r="U31" s="56" t="s">
        <v>0</v>
      </c>
      <c r="V31" s="57">
        <v>1</v>
      </c>
      <c r="W31" s="13">
        <f t="shared" si="46"/>
        <v>0</v>
      </c>
      <c r="X31" s="97">
        <f t="shared" si="47"/>
        <v>1</v>
      </c>
      <c r="Y31" s="74">
        <v>1</v>
      </c>
      <c r="Z31" s="56" t="s">
        <v>0</v>
      </c>
      <c r="AA31" s="76">
        <v>2</v>
      </c>
      <c r="AB31" s="13">
        <f t="shared" si="48"/>
        <v>0</v>
      </c>
      <c r="AC31" s="97">
        <f t="shared" si="49"/>
        <v>3</v>
      </c>
      <c r="AD31" s="56">
        <v>2</v>
      </c>
      <c r="AE31" s="56" t="s">
        <v>0</v>
      </c>
      <c r="AF31" s="57">
        <v>2</v>
      </c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>
        <v>2</v>
      </c>
      <c r="AT31" s="56" t="s">
        <v>0</v>
      </c>
      <c r="AU31" s="57">
        <v>2</v>
      </c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customHeight="1" outlineLevel="2" thickBot="1">
      <c r="A32" s="71">
        <v>46215.125</v>
      </c>
      <c r="B32" s="34" t="s">
        <v>194</v>
      </c>
      <c r="C32" s="35" t="s">
        <v>171</v>
      </c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2</v>
      </c>
      <c r="J32" s="56">
        <v>2</v>
      </c>
      <c r="K32" s="56" t="s">
        <v>0</v>
      </c>
      <c r="L32" s="57">
        <v>1</v>
      </c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2</v>
      </c>
      <c r="T32" s="56">
        <v>2</v>
      </c>
      <c r="U32" s="56" t="s">
        <v>0</v>
      </c>
      <c r="V32" s="57">
        <v>1</v>
      </c>
      <c r="W32" s="13">
        <f t="shared" si="46"/>
        <v>0</v>
      </c>
      <c r="X32" s="97">
        <f t="shared" si="47"/>
        <v>2</v>
      </c>
      <c r="Y32" s="74">
        <v>1</v>
      </c>
      <c r="Z32" s="56" t="s">
        <v>0</v>
      </c>
      <c r="AA32" s="76">
        <v>0</v>
      </c>
      <c r="AB32" s="13">
        <f t="shared" si="48"/>
        <v>0</v>
      </c>
      <c r="AC32" s="97">
        <f t="shared" si="49"/>
        <v>2</v>
      </c>
      <c r="AD32" s="56">
        <v>3</v>
      </c>
      <c r="AE32" s="56" t="s">
        <v>0</v>
      </c>
      <c r="AF32" s="57">
        <v>1</v>
      </c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2</v>
      </c>
      <c r="AS32" s="56">
        <v>2</v>
      </c>
      <c r="AT32" s="56" t="s">
        <v>0</v>
      </c>
      <c r="AU32" s="57">
        <v>0</v>
      </c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customHeight="1" outlineLevel="2" thickBot="1">
      <c r="A33" s="72" t="s">
        <v>256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customHeight="1" outlineLevel="2">
      <c r="A34" s="71">
        <v>46217.875</v>
      </c>
      <c r="B34" s="34" t="str">
        <f>Faz_Puch_TAB_2026!B2</f>
        <v>Winner Match 97</v>
      </c>
      <c r="C34" s="35" t="str">
        <f>Faz_Puch_TAB_2026!C2</f>
        <v>Winner Match 98</v>
      </c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customHeight="1" outlineLevel="2" thickBot="1">
      <c r="A35" s="71">
        <v>46218.875</v>
      </c>
      <c r="B35" s="34" t="str">
        <f>Faz_Puch_TAB_2026!B3</f>
        <v>Winner Match 99</v>
      </c>
      <c r="C35" s="35" t="str">
        <f>Faz_Puch_TAB_2026!C3</f>
        <v>Winner Match 100</v>
      </c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customHeight="1" outlineLevel="2" thickBot="1">
      <c r="A36" s="72" t="s">
        <v>257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customHeight="1" outlineLevel="2" thickBot="1">
      <c r="A37" s="71">
        <v>46221.958333333336</v>
      </c>
      <c r="B37" s="34" t="str">
        <f>Faz_Puch_TAB_2026!B5</f>
        <v>Loser Match 101</v>
      </c>
      <c r="C37" s="35" t="str">
        <f>Faz_Puch_TAB_2026!C5</f>
        <v>Loser Match 102</v>
      </c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customHeight="1" outlineLevel="2" thickBot="1">
      <c r="A38" s="72" t="s">
        <v>258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outlineLevel="2" thickBot="1">
      <c r="A39" s="71">
        <v>46222.875</v>
      </c>
      <c r="B39" s="38" t="str">
        <f>Faz_Puch_TAB_2026!B7</f>
        <v>Winner Match 101</v>
      </c>
      <c r="C39" s="39" t="str">
        <f>Faz_Puch_TAB_2026!C7</f>
        <v>Winner Match 102</v>
      </c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thickBot="1">
      <c r="M40" s="16">
        <f>SUM(M3:M39)</f>
        <v>16</v>
      </c>
      <c r="R40" s="16">
        <f>SUM(R3:R39)</f>
        <v>0</v>
      </c>
      <c r="W40" s="16">
        <f>SUM(W3:W39)</f>
        <v>12</v>
      </c>
      <c r="AB40" s="16">
        <f>SUM(AB3:AB39)</f>
        <v>25</v>
      </c>
      <c r="AG40" s="16">
        <f>SUM(AG3:AG39)</f>
        <v>21</v>
      </c>
      <c r="AL40" s="16">
        <f>SUM(AL3:AL39)</f>
        <v>18</v>
      </c>
      <c r="AQ40" s="16">
        <f>SUM(AQ3:AQ39)</f>
        <v>0</v>
      </c>
      <c r="AV40" s="16">
        <f>SUM(AV3:AV39)</f>
        <v>21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2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5</v>
      </c>
      <c r="AC41" s="61"/>
      <c r="AD41" s="61"/>
      <c r="AE41" s="61"/>
      <c r="AF41" s="61"/>
      <c r="AG41" s="60">
        <f>COUNTIF(AG3:AG39,3)</f>
        <v>3</v>
      </c>
      <c r="AH41" s="61"/>
      <c r="AI41" s="61"/>
      <c r="AJ41" s="61"/>
      <c r="AK41" s="61"/>
      <c r="AL41" s="60">
        <f>COUNTIF(AL3:AL39, 3)</f>
        <v>4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3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132</v>
      </c>
      <c r="D42" s="95" t="s">
        <v>6</v>
      </c>
      <c r="E42" s="94"/>
      <c r="F42" s="96"/>
      <c r="G42" s="96"/>
      <c r="H42" s="96" t="s">
        <v>147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138</v>
      </c>
      <c r="D43" s="84">
        <v>25</v>
      </c>
      <c r="E43" s="83"/>
      <c r="F43" s="83"/>
      <c r="G43" s="83"/>
      <c r="H43" s="84">
        <v>5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2</v>
      </c>
      <c r="C44" s="86" t="s">
        <v>145</v>
      </c>
      <c r="D44" s="87">
        <v>21</v>
      </c>
      <c r="E44" s="86"/>
      <c r="F44" s="86"/>
      <c r="G44" s="86"/>
      <c r="H44" s="87">
        <v>3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2</v>
      </c>
      <c r="C45" s="89" t="s">
        <v>133</v>
      </c>
      <c r="D45" s="90">
        <v>21</v>
      </c>
      <c r="E45" s="89"/>
      <c r="F45" s="89"/>
      <c r="G45" s="89"/>
      <c r="H45" s="90">
        <v>3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3</v>
      </c>
      <c r="C46" s="92" t="s">
        <v>5</v>
      </c>
      <c r="D46" s="93">
        <v>18</v>
      </c>
      <c r="E46" s="92"/>
      <c r="F46" s="92"/>
      <c r="G46" s="92"/>
      <c r="H46" s="93">
        <v>4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4</v>
      </c>
      <c r="C47" s="92" t="s">
        <v>1</v>
      </c>
      <c r="D47" s="93">
        <v>16</v>
      </c>
      <c r="E47" s="92"/>
      <c r="F47" s="92"/>
      <c r="G47" s="92"/>
      <c r="H47" s="93">
        <v>2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5</v>
      </c>
      <c r="C48" s="92" t="s">
        <v>7</v>
      </c>
      <c r="D48" s="93">
        <v>12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16"/>
      <c r="C49" s="117"/>
      <c r="D49" s="118"/>
      <c r="E49" s="117"/>
      <c r="F49" s="117"/>
      <c r="G49" s="117"/>
      <c r="H49" s="118"/>
      <c r="I49" s="104"/>
      <c r="J49" s="10"/>
      <c r="K49" s="8"/>
      <c r="L49" s="8"/>
      <c r="M49" s="8"/>
      <c r="O49" s="10"/>
    </row>
    <row r="50" spans="1:15" ht="18" customHeight="1">
      <c r="A50" s="73"/>
      <c r="B50" s="116"/>
      <c r="C50" s="117"/>
      <c r="D50" s="118"/>
      <c r="E50" s="117"/>
      <c r="F50" s="117"/>
      <c r="G50" s="117"/>
      <c r="H50" s="118"/>
      <c r="I50" s="104"/>
      <c r="J50" s="10"/>
      <c r="K50" s="8"/>
      <c r="L50" s="8"/>
      <c r="M50" s="8"/>
      <c r="O50" s="10"/>
    </row>
    <row r="51" spans="1:15" ht="18" customHeight="1">
      <c r="A51" s="73"/>
      <c r="B51" s="116"/>
      <c r="C51" s="117"/>
      <c r="D51" s="118"/>
      <c r="E51" s="117"/>
      <c r="F51" s="117"/>
      <c r="G51" s="117"/>
      <c r="H51" s="118"/>
      <c r="I51" s="104"/>
      <c r="J51" s="10"/>
      <c r="K51" s="8"/>
      <c r="L51" s="8"/>
      <c r="M51" s="8"/>
      <c r="O51" s="10"/>
    </row>
    <row r="52" spans="1:15" ht="18" customHeight="1">
      <c r="A52" s="73"/>
      <c r="B52" s="116"/>
      <c r="C52" s="117"/>
      <c r="D52" s="118"/>
      <c r="E52" s="117"/>
      <c r="F52" s="117"/>
      <c r="G52" s="117"/>
      <c r="H52" s="118"/>
      <c r="I52" s="104"/>
      <c r="J52" s="10"/>
      <c r="K52" s="31"/>
      <c r="L52" s="31"/>
      <c r="M52" s="8"/>
      <c r="O52" s="10"/>
    </row>
    <row r="53" spans="1:15" ht="18" customHeight="1">
      <c r="A53" s="73"/>
      <c r="B53" s="116"/>
      <c r="C53" s="117"/>
      <c r="D53" s="118"/>
      <c r="E53" s="117"/>
      <c r="F53" s="117"/>
      <c r="G53" s="117"/>
      <c r="H53" s="118"/>
      <c r="I53" s="104"/>
      <c r="J53" s="10"/>
      <c r="K53" s="31"/>
      <c r="L53" s="31"/>
      <c r="M53" s="8"/>
      <c r="O53" s="10"/>
    </row>
    <row r="54" spans="1:15" ht="18" customHeight="1">
      <c r="A54" s="73"/>
      <c r="B54" s="116"/>
      <c r="C54" s="117"/>
      <c r="D54" s="118"/>
      <c r="E54" s="117"/>
      <c r="F54" s="117"/>
      <c r="G54" s="117"/>
      <c r="H54" s="118"/>
      <c r="I54" s="104"/>
      <c r="J54" s="10"/>
      <c r="K54" s="31"/>
      <c r="L54" s="31"/>
      <c r="M54" s="8"/>
      <c r="O54" s="10"/>
    </row>
    <row r="55" spans="1:15" ht="15">
      <c r="B55" s="113"/>
      <c r="C55" s="114"/>
      <c r="D55" s="114"/>
      <c r="E55" s="114"/>
      <c r="F55" s="114"/>
      <c r="G55" s="114"/>
      <c r="H55" s="114"/>
      <c r="I55" s="104"/>
      <c r="J55" s="10"/>
      <c r="K55" s="31"/>
      <c r="L55" s="31"/>
      <c r="M55" s="8"/>
      <c r="O55" s="10"/>
    </row>
    <row r="56" spans="1:15" ht="15">
      <c r="B56" s="113"/>
      <c r="C56" s="114"/>
      <c r="D56" s="114"/>
      <c r="E56" s="114"/>
      <c r="F56" s="114"/>
      <c r="G56" s="114"/>
      <c r="H56" s="114"/>
      <c r="I56" s="104"/>
      <c r="J56" s="10"/>
      <c r="K56" s="31"/>
      <c r="L56" s="31"/>
      <c r="M56" s="8"/>
      <c r="O56" s="10"/>
    </row>
    <row r="57" spans="1:15" ht="15">
      <c r="B57" s="113"/>
      <c r="C57" s="114"/>
      <c r="D57" s="114"/>
      <c r="E57" s="114"/>
      <c r="F57" s="114"/>
      <c r="G57" s="114"/>
      <c r="H57" s="114"/>
      <c r="I57" s="104"/>
      <c r="J57" s="10"/>
      <c r="K57" s="31"/>
      <c r="L57" s="31"/>
      <c r="M57" s="8"/>
      <c r="O57" s="10"/>
    </row>
    <row r="58" spans="1:15" ht="15" hidden="1">
      <c r="B58" s="114"/>
      <c r="C58" s="114"/>
      <c r="D58" s="114"/>
      <c r="E58" s="114"/>
      <c r="F58" s="114"/>
      <c r="G58" s="114"/>
      <c r="H58" s="114"/>
      <c r="I58" s="104"/>
      <c r="J58" s="10"/>
      <c r="K58" s="31"/>
      <c r="L58" s="31"/>
      <c r="M58" s="8"/>
      <c r="O58" s="10"/>
    </row>
    <row r="59" spans="1:15" ht="15" hidden="1">
      <c r="B59" s="114"/>
      <c r="C59" s="114"/>
      <c r="D59" s="114"/>
      <c r="E59" s="114"/>
      <c r="F59" s="114"/>
      <c r="G59" s="114"/>
      <c r="H59" s="114"/>
      <c r="I59" s="104"/>
      <c r="J59" s="10"/>
      <c r="K59" s="31"/>
      <c r="L59" s="31"/>
      <c r="M59" s="8"/>
    </row>
    <row r="60" spans="1:15" ht="15" hidden="1">
      <c r="B60" s="114"/>
      <c r="C60" s="114"/>
      <c r="D60" s="114"/>
      <c r="E60" s="114"/>
      <c r="F60" s="114"/>
      <c r="G60" s="114"/>
      <c r="H60" s="114"/>
      <c r="I60" s="104"/>
      <c r="J60" s="10"/>
      <c r="K60" s="31"/>
      <c r="L60" s="31"/>
      <c r="M60" s="8"/>
    </row>
    <row r="61" spans="1:15" ht="15" hidden="1">
      <c r="B61" s="114"/>
      <c r="C61" s="115"/>
      <c r="D61" s="115"/>
      <c r="E61" s="115"/>
      <c r="F61" s="115"/>
      <c r="G61" s="115"/>
      <c r="H61" s="115"/>
      <c r="J61" s="42"/>
    </row>
    <row r="62" spans="1:15" ht="15" hidden="1">
      <c r="B62" s="114"/>
      <c r="C62" s="115"/>
      <c r="D62" s="115"/>
      <c r="E62" s="115"/>
      <c r="F62" s="115"/>
      <c r="G62" s="115"/>
      <c r="H62" s="115"/>
      <c r="J62" s="42"/>
    </row>
    <row r="63" spans="1:15" ht="15" hidden="1">
      <c r="B63" s="115"/>
      <c r="C63" s="115"/>
      <c r="D63" s="115"/>
      <c r="E63" s="115"/>
      <c r="F63" s="115"/>
      <c r="G63" s="115"/>
      <c r="H63" s="115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mergeCells count="17"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  <mergeCell ref="BH2:BK2"/>
    <mergeCell ref="BM2:BP2"/>
    <mergeCell ref="BR2:BU2"/>
    <mergeCell ref="BW2:BZ2"/>
    <mergeCell ref="CB2:CE2"/>
  </mergeCells>
  <conditionalFormatting sqref="K43:K57">
    <cfRule type="cellIs" dxfId="22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21" priority="2" stopIfTrue="1" operator="equal">
      <formula>3</formula>
    </cfRule>
  </conditionalFormatting>
  <conditionalFormatting sqref="J58:J60">
    <cfRule type="cellIs" dxfId="20" priority="3" stopIfTrue="1" operator="equal">
      <formula>0</formula>
    </cfRule>
  </conditionalFormatting>
  <conditionalFormatting sqref="I43:I57">
    <cfRule type="cellIs" dxfId="19" priority="4" stopIfTrue="1" operator="equal">
      <formula>0</formula>
    </cfRule>
  </conditionalFormatting>
  <conditionalFormatting sqref="J43:J57">
    <cfRule type="cellIs" dxfId="18" priority="5" stopIfTrue="1" operator="equal">
      <formula>0</formula>
    </cfRule>
  </conditionalFormatting>
  <conditionalFormatting sqref="J29:J31">
    <cfRule type="cellIs" dxfId="17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22" t="s">
        <v>22</v>
      </c>
      <c r="C2" s="123"/>
      <c r="D2" s="124" t="s">
        <v>2</v>
      </c>
      <c r="E2" s="125"/>
      <c r="F2" s="126"/>
      <c r="H2" s="45"/>
      <c r="J2" s="119" t="s">
        <v>1</v>
      </c>
      <c r="K2" s="120"/>
      <c r="L2" s="120"/>
      <c r="M2" s="121"/>
      <c r="N2" s="97"/>
      <c r="O2" s="119" t="s">
        <v>4</v>
      </c>
      <c r="P2" s="120"/>
      <c r="Q2" s="120"/>
      <c r="R2" s="121"/>
      <c r="S2" s="97"/>
      <c r="T2" s="119" t="s">
        <v>7</v>
      </c>
      <c r="U2" s="120"/>
      <c r="V2" s="120"/>
      <c r="W2" s="121"/>
      <c r="X2" s="97"/>
      <c r="Y2" s="119" t="s">
        <v>138</v>
      </c>
      <c r="Z2" s="120"/>
      <c r="AA2" s="120"/>
      <c r="AB2" s="121"/>
      <c r="AC2" s="97"/>
      <c r="AD2" s="119" t="s">
        <v>133</v>
      </c>
      <c r="AE2" s="120"/>
      <c r="AF2" s="120"/>
      <c r="AG2" s="121"/>
      <c r="AH2" s="97"/>
      <c r="AI2" s="119" t="s">
        <v>5</v>
      </c>
      <c r="AJ2" s="120"/>
      <c r="AK2" s="120"/>
      <c r="AL2" s="121"/>
      <c r="AM2" s="97"/>
      <c r="AN2" s="119" t="s">
        <v>140</v>
      </c>
      <c r="AO2" s="120"/>
      <c r="AP2" s="120"/>
      <c r="AQ2" s="121"/>
      <c r="AR2" s="97"/>
      <c r="AS2" s="119" t="s">
        <v>145</v>
      </c>
      <c r="AT2" s="120"/>
      <c r="AU2" s="120"/>
      <c r="AV2" s="121"/>
      <c r="AW2" s="97"/>
      <c r="AX2" s="119" t="s">
        <v>148</v>
      </c>
      <c r="AY2" s="120"/>
      <c r="AZ2" s="120"/>
      <c r="BA2" s="121"/>
      <c r="BB2" s="97"/>
      <c r="BC2" s="119" t="s">
        <v>149</v>
      </c>
      <c r="BD2" s="120"/>
      <c r="BE2" s="120"/>
      <c r="BF2" s="121"/>
      <c r="BG2" s="97"/>
      <c r="BH2" s="119" t="s">
        <v>150</v>
      </c>
      <c r="BI2" s="120"/>
      <c r="BJ2" s="120"/>
      <c r="BK2" s="121"/>
      <c r="BL2" s="97"/>
      <c r="BM2" s="119" t="s">
        <v>151</v>
      </c>
      <c r="BN2" s="120"/>
      <c r="BO2" s="120"/>
      <c r="BP2" s="121"/>
      <c r="BQ2" s="97"/>
      <c r="BR2" s="119" t="s">
        <v>134</v>
      </c>
      <c r="BS2" s="120"/>
      <c r="BT2" s="120"/>
      <c r="BU2" s="121"/>
      <c r="BV2" s="97"/>
      <c r="BW2" s="119" t="s">
        <v>135</v>
      </c>
      <c r="BX2" s="120"/>
      <c r="BY2" s="120"/>
      <c r="BZ2" s="121"/>
      <c r="CA2" s="97"/>
      <c r="CB2" s="119" t="s">
        <v>136</v>
      </c>
      <c r="CC2" s="120"/>
      <c r="CD2" s="120"/>
      <c r="CE2" s="121"/>
    </row>
    <row r="3" spans="1:83" ht="13.5" hidden="1" customHeight="1" outlineLevel="1">
      <c r="A3" s="71">
        <v>46184.875</v>
      </c>
      <c r="B3" s="32" t="s">
        <v>98</v>
      </c>
      <c r="C3" s="33" t="s">
        <v>141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100</v>
      </c>
      <c r="C4" s="33" t="s">
        <v>101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102</v>
      </c>
      <c r="C5" s="33" t="s">
        <v>103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104</v>
      </c>
      <c r="C6" s="33" t="s">
        <v>105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106</v>
      </c>
      <c r="C7" s="33" t="s">
        <v>92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107</v>
      </c>
      <c r="C8" s="33" t="s">
        <v>108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83</v>
      </c>
      <c r="C9" s="33" t="s">
        <v>93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84</v>
      </c>
      <c r="C10" s="33" t="s">
        <v>94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109</v>
      </c>
      <c r="C11" s="33" t="s">
        <v>89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95</v>
      </c>
      <c r="C12" s="33" t="s">
        <v>110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111</v>
      </c>
      <c r="C13" s="33" t="s">
        <v>112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113</v>
      </c>
      <c r="C14" s="33" t="s">
        <v>114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96</v>
      </c>
      <c r="C15" s="33" t="s">
        <v>142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116</v>
      </c>
      <c r="C16" s="33" t="s">
        <v>117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118</v>
      </c>
      <c r="C17" s="33" t="s">
        <v>189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85</v>
      </c>
      <c r="C18" s="33" t="s">
        <v>120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121</v>
      </c>
      <c r="C19" s="33" t="s">
        <v>90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122</v>
      </c>
      <c r="C20" s="33" t="s">
        <v>123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124</v>
      </c>
      <c r="C21" s="33" t="s">
        <v>125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86</v>
      </c>
      <c r="C22" s="33" t="s">
        <v>126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127</v>
      </c>
      <c r="C23" s="33" t="s">
        <v>143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129</v>
      </c>
      <c r="C24" s="33" t="s">
        <v>97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88</v>
      </c>
      <c r="C25" s="33" t="s">
        <v>91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87</v>
      </c>
      <c r="C26" s="33" t="s">
        <v>130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101</v>
      </c>
      <c r="C28" s="41" t="s">
        <v>141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92</v>
      </c>
      <c r="C29" s="41" t="s">
        <v>103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98</v>
      </c>
      <c r="C30" s="41" t="s">
        <v>100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102</v>
      </c>
      <c r="C31" s="41" t="s">
        <v>106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104</v>
      </c>
      <c r="C32" s="41" t="s">
        <v>84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93</v>
      </c>
      <c r="C33" s="41" t="s">
        <v>108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107</v>
      </c>
      <c r="C34" s="41" t="s">
        <v>83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94</v>
      </c>
      <c r="C35" s="41" t="s">
        <v>105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109</v>
      </c>
      <c r="C36" s="41" t="s">
        <v>111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95</v>
      </c>
      <c r="C37" s="41" t="s">
        <v>113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112</v>
      </c>
      <c r="C38" s="41" t="s">
        <v>89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114</v>
      </c>
      <c r="C39" s="41" t="s">
        <v>110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116</v>
      </c>
      <c r="C40" s="41" t="s">
        <v>85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96</v>
      </c>
      <c r="C41" s="41" t="s">
        <v>118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120</v>
      </c>
      <c r="C42" s="41" t="s">
        <v>117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119</v>
      </c>
      <c r="C43" s="41" t="s">
        <v>142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121</v>
      </c>
      <c r="C44" s="41" t="s">
        <v>122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124</v>
      </c>
      <c r="C45" s="41" t="s">
        <v>86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123</v>
      </c>
      <c r="C46" s="41" t="s">
        <v>90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126</v>
      </c>
      <c r="C47" s="41" t="s">
        <v>125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127</v>
      </c>
      <c r="C48" s="41" t="s">
        <v>87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129</v>
      </c>
      <c r="C49" s="41" t="s">
        <v>88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130</v>
      </c>
      <c r="C50" s="41" t="s">
        <v>144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91</v>
      </c>
      <c r="C51" s="41" t="s">
        <v>97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92</v>
      </c>
      <c r="C53" s="35" t="s">
        <v>102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103</v>
      </c>
      <c r="C54" s="35" t="s">
        <v>106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101</v>
      </c>
      <c r="C55" s="35" t="s">
        <v>98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99</v>
      </c>
      <c r="C56" s="35" t="s">
        <v>100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93</v>
      </c>
      <c r="C57" s="35" t="s">
        <v>107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108</v>
      </c>
      <c r="C58" s="35" t="s">
        <v>83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89</v>
      </c>
      <c r="C59" s="35" t="s">
        <v>111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112</v>
      </c>
      <c r="C60" s="35" t="s">
        <v>109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94</v>
      </c>
      <c r="C61" s="35" t="s">
        <v>104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105</v>
      </c>
      <c r="C62" s="35" t="s">
        <v>84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110</v>
      </c>
      <c r="C63" s="35" t="s">
        <v>113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114</v>
      </c>
      <c r="C64" s="35" t="s">
        <v>95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123</v>
      </c>
      <c r="C65" s="35" t="s">
        <v>121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90</v>
      </c>
      <c r="C66" s="35" t="s">
        <v>122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117</v>
      </c>
      <c r="C67" s="35" t="s">
        <v>85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120</v>
      </c>
      <c r="C68" s="35" t="s">
        <v>116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115</v>
      </c>
      <c r="C69" s="35" t="s">
        <v>118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119</v>
      </c>
      <c r="C70" s="35" t="s">
        <v>96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91</v>
      </c>
      <c r="C71" s="35" t="s">
        <v>129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97</v>
      </c>
      <c r="C72" s="35" t="s">
        <v>88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125</v>
      </c>
      <c r="C73" s="35" t="s">
        <v>86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126</v>
      </c>
      <c r="C74" s="37" t="s">
        <v>124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130</v>
      </c>
      <c r="C75" s="37" t="s">
        <v>127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128</v>
      </c>
      <c r="C76" s="39" t="s">
        <v>87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146</v>
      </c>
      <c r="C79" s="95" t="s">
        <v>132</v>
      </c>
      <c r="D79" s="95" t="s">
        <v>6</v>
      </c>
      <c r="E79" s="94"/>
      <c r="F79" s="96"/>
      <c r="G79" s="96"/>
      <c r="H79" s="96" t="s">
        <v>147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149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133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145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138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140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150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151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148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BC2:BF2"/>
    <mergeCell ref="AX2:BA2"/>
    <mergeCell ref="AS2:AV2"/>
    <mergeCell ref="J2:M2"/>
    <mergeCell ref="O2:R2"/>
    <mergeCell ref="T2:W2"/>
    <mergeCell ref="AI2:AL2"/>
    <mergeCell ref="CB2:CE2"/>
    <mergeCell ref="BH2:BK2"/>
    <mergeCell ref="BM2:BP2"/>
    <mergeCell ref="BR2:BU2"/>
    <mergeCell ref="BW2:BZ2"/>
    <mergeCell ref="AN2:AQ2"/>
    <mergeCell ref="Y2:AB2"/>
    <mergeCell ref="D2:F2"/>
    <mergeCell ref="AD2:AG2"/>
    <mergeCell ref="B2:C2"/>
  </mergeCells>
  <phoneticPr fontId="2" type="noConversion"/>
  <conditionalFormatting sqref="K80:K94">
    <cfRule type="cellIs" dxfId="16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5" priority="16" stopIfTrue="1" operator="equal">
      <formula>3</formula>
    </cfRule>
  </conditionalFormatting>
  <conditionalFormatting sqref="J95:J97">
    <cfRule type="cellIs" dxfId="14" priority="17" stopIfTrue="1" operator="equal">
      <formula>0</formula>
    </cfRule>
  </conditionalFormatting>
  <conditionalFormatting sqref="I80:I94">
    <cfRule type="cellIs" dxfId="13" priority="19" stopIfTrue="1" operator="equal">
      <formula>0</formula>
    </cfRule>
  </conditionalFormatting>
  <conditionalFormatting sqref="J80:J94">
    <cfRule type="cellIs" dxfId="12" priority="20" stopIfTrue="1" operator="equal">
      <formula>0</formula>
    </cfRule>
  </conditionalFormatting>
  <conditionalFormatting sqref="J53:J55">
    <cfRule type="cellIs" dxfId="11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240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220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204</v>
      </c>
      <c r="K3">
        <v>4</v>
      </c>
      <c r="N3" s="105" t="s">
        <v>137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204</v>
      </c>
      <c r="K4">
        <v>3</v>
      </c>
    </row>
    <row r="5" spans="1:14">
      <c r="A5" t="s">
        <v>16</v>
      </c>
      <c r="B5">
        <v>4</v>
      </c>
      <c r="C5" t="s">
        <v>241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222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225</v>
      </c>
      <c r="K7">
        <v>7</v>
      </c>
    </row>
    <row r="8" spans="1:14">
      <c r="A8" t="s">
        <v>18</v>
      </c>
      <c r="B8">
        <v>2</v>
      </c>
      <c r="C8" t="s">
        <v>242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223</v>
      </c>
      <c r="K8">
        <v>4</v>
      </c>
    </row>
    <row r="9" spans="1:14">
      <c r="A9" t="s">
        <v>18</v>
      </c>
      <c r="B9">
        <v>3</v>
      </c>
      <c r="C9" t="s">
        <v>238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204</v>
      </c>
      <c r="K9">
        <v>4</v>
      </c>
    </row>
    <row r="10" spans="1:14">
      <c r="A10" t="s">
        <v>18</v>
      </c>
      <c r="B10">
        <v>4</v>
      </c>
      <c r="C10" t="s">
        <v>243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226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220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206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207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221</v>
      </c>
      <c r="K15">
        <v>0</v>
      </c>
    </row>
    <row r="17" spans="1:11">
      <c r="A17" t="s">
        <v>17</v>
      </c>
      <c r="B17">
        <v>1</v>
      </c>
      <c r="C17" t="s">
        <v>244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225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205</v>
      </c>
      <c r="K19">
        <v>4</v>
      </c>
    </row>
    <row r="20" spans="1:11">
      <c r="A20" t="s">
        <v>17</v>
      </c>
      <c r="B20">
        <v>4</v>
      </c>
      <c r="C20" t="s">
        <v>245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205</v>
      </c>
      <c r="K20">
        <v>3</v>
      </c>
    </row>
    <row r="22" spans="1:11">
      <c r="A22" t="s">
        <v>20</v>
      </c>
      <c r="B22">
        <v>1</v>
      </c>
      <c r="C22" t="s">
        <v>232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220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202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226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220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225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246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247</v>
      </c>
      <c r="K30">
        <v>0</v>
      </c>
    </row>
    <row r="32" spans="1:11">
      <c r="A32" t="s">
        <v>74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225</v>
      </c>
      <c r="K32">
        <v>5</v>
      </c>
    </row>
    <row r="33" spans="1:11">
      <c r="A33" t="s">
        <v>74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202</v>
      </c>
      <c r="K33">
        <v>5</v>
      </c>
    </row>
    <row r="34" spans="1:11">
      <c r="A34" t="s">
        <v>74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74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221</v>
      </c>
      <c r="K35">
        <v>1</v>
      </c>
    </row>
    <row r="37" spans="1:11">
      <c r="A37" t="s">
        <v>75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223</v>
      </c>
      <c r="K37">
        <v>7</v>
      </c>
    </row>
    <row r="38" spans="1:11">
      <c r="A38" t="s">
        <v>75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75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204</v>
      </c>
      <c r="K39">
        <v>2</v>
      </c>
    </row>
    <row r="40" spans="1:11">
      <c r="A40" t="s">
        <v>75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222</v>
      </c>
      <c r="K40">
        <v>2</v>
      </c>
    </row>
    <row r="42" spans="1:11">
      <c r="A42" t="s">
        <v>76</v>
      </c>
      <c r="B42">
        <v>1</v>
      </c>
      <c r="C42" t="s">
        <v>236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248</v>
      </c>
      <c r="K42">
        <v>9</v>
      </c>
    </row>
    <row r="43" spans="1:11">
      <c r="A43" t="s">
        <v>76</v>
      </c>
      <c r="B43">
        <v>2</v>
      </c>
      <c r="C43" t="s">
        <v>237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203</v>
      </c>
      <c r="K43">
        <v>6</v>
      </c>
    </row>
    <row r="44" spans="1:11">
      <c r="A44" t="s">
        <v>76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202</v>
      </c>
      <c r="K44">
        <v>3</v>
      </c>
    </row>
    <row r="45" spans="1:11">
      <c r="A45" t="s">
        <v>76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249</v>
      </c>
      <c r="K45">
        <v>0</v>
      </c>
    </row>
    <row r="47" spans="1:11">
      <c r="A47" t="s">
        <v>77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224</v>
      </c>
      <c r="K47">
        <v>9</v>
      </c>
    </row>
    <row r="48" spans="1:11">
      <c r="A48" t="s">
        <v>77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77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205</v>
      </c>
      <c r="K49">
        <v>4</v>
      </c>
    </row>
    <row r="50" spans="1:11">
      <c r="A50" t="s">
        <v>77</v>
      </c>
      <c r="B50">
        <v>4</v>
      </c>
      <c r="C50" t="s">
        <v>250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251</v>
      </c>
      <c r="K50">
        <v>0</v>
      </c>
    </row>
    <row r="52" spans="1:11">
      <c r="A52" t="s">
        <v>78</v>
      </c>
      <c r="B52">
        <v>1</v>
      </c>
      <c r="C52" t="s">
        <v>239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206</v>
      </c>
      <c r="K52">
        <v>7</v>
      </c>
    </row>
    <row r="53" spans="1:11">
      <c r="A53" t="s">
        <v>78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223</v>
      </c>
      <c r="K53">
        <v>5</v>
      </c>
    </row>
    <row r="54" spans="1:11">
      <c r="A54" t="s">
        <v>78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203</v>
      </c>
      <c r="K54">
        <v>4</v>
      </c>
    </row>
    <row r="55" spans="1:11">
      <c r="A55" t="s">
        <v>78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252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225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222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152</v>
      </c>
      <c r="B1" t="s">
        <v>32</v>
      </c>
      <c r="C1" t="s">
        <v>153</v>
      </c>
      <c r="D1" t="s">
        <v>154</v>
      </c>
      <c r="E1" t="s">
        <v>33</v>
      </c>
      <c r="F1" t="s">
        <v>155</v>
      </c>
      <c r="G1" t="s">
        <v>156</v>
      </c>
    </row>
    <row r="2" spans="1:7">
      <c r="A2" s="70">
        <v>46184.875</v>
      </c>
      <c r="B2" t="s">
        <v>157</v>
      </c>
      <c r="C2">
        <v>2</v>
      </c>
      <c r="D2">
        <v>0</v>
      </c>
      <c r="E2" t="s">
        <v>158</v>
      </c>
      <c r="F2" t="s">
        <v>159</v>
      </c>
      <c r="G2" t="s">
        <v>160</v>
      </c>
    </row>
    <row r="3" spans="1:7">
      <c r="A3" s="70">
        <v>46185.166666666664</v>
      </c>
      <c r="B3" t="s">
        <v>161</v>
      </c>
      <c r="C3">
        <v>2</v>
      </c>
      <c r="D3">
        <v>1</v>
      </c>
      <c r="E3" t="s">
        <v>162</v>
      </c>
      <c r="F3" t="s">
        <v>159</v>
      </c>
      <c r="G3" t="s">
        <v>163</v>
      </c>
    </row>
    <row r="4" spans="1:7">
      <c r="A4" s="70">
        <v>46185.875</v>
      </c>
      <c r="B4" t="s">
        <v>164</v>
      </c>
      <c r="C4">
        <v>1</v>
      </c>
      <c r="D4">
        <v>1</v>
      </c>
      <c r="E4" t="s">
        <v>165</v>
      </c>
      <c r="F4" t="s">
        <v>159</v>
      </c>
      <c r="G4" t="s">
        <v>166</v>
      </c>
    </row>
    <row r="5" spans="1:7">
      <c r="A5" s="70">
        <v>46186.125</v>
      </c>
      <c r="B5" t="s">
        <v>167</v>
      </c>
      <c r="C5">
        <v>4</v>
      </c>
      <c r="D5">
        <v>1</v>
      </c>
      <c r="E5" t="s">
        <v>168</v>
      </c>
      <c r="F5" t="s">
        <v>159</v>
      </c>
      <c r="G5" t="s">
        <v>169</v>
      </c>
    </row>
    <row r="6" spans="1:7">
      <c r="A6" s="70">
        <v>46186.875</v>
      </c>
      <c r="B6" t="s">
        <v>170</v>
      </c>
      <c r="C6">
        <v>1</v>
      </c>
      <c r="D6">
        <v>1</v>
      </c>
      <c r="E6" t="s">
        <v>171</v>
      </c>
      <c r="F6" t="s">
        <v>159</v>
      </c>
      <c r="G6" t="s">
        <v>166</v>
      </c>
    </row>
    <row r="7" spans="1:7">
      <c r="A7" s="70">
        <v>46187</v>
      </c>
      <c r="B7" t="s">
        <v>172</v>
      </c>
      <c r="C7">
        <v>1</v>
      </c>
      <c r="D7">
        <v>1</v>
      </c>
      <c r="E7" t="s">
        <v>173</v>
      </c>
      <c r="F7" t="s">
        <v>159</v>
      </c>
      <c r="G7" t="s">
        <v>166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174</v>
      </c>
      <c r="F8" t="s">
        <v>159</v>
      </c>
      <c r="G8" t="s">
        <v>175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176</v>
      </c>
      <c r="F9" t="s">
        <v>159</v>
      </c>
      <c r="G9" t="s">
        <v>160</v>
      </c>
    </row>
    <row r="10" spans="1:7">
      <c r="A10" s="70">
        <v>46187.791666666664</v>
      </c>
      <c r="B10" t="s">
        <v>177</v>
      </c>
      <c r="C10">
        <v>7</v>
      </c>
      <c r="D10">
        <v>1</v>
      </c>
      <c r="E10" t="s">
        <v>41</v>
      </c>
      <c r="F10" t="s">
        <v>159</v>
      </c>
      <c r="G10" t="s">
        <v>208</v>
      </c>
    </row>
    <row r="11" spans="1:7">
      <c r="A11" s="70">
        <v>46187.916666666664</v>
      </c>
      <c r="B11" t="s">
        <v>178</v>
      </c>
      <c r="C11">
        <v>2</v>
      </c>
      <c r="D11">
        <v>2</v>
      </c>
      <c r="E11" t="s">
        <v>179</v>
      </c>
      <c r="F11" t="s">
        <v>159</v>
      </c>
      <c r="G11" t="s">
        <v>209</v>
      </c>
    </row>
    <row r="12" spans="1:7">
      <c r="A12" s="70">
        <v>46188.041666666664</v>
      </c>
      <c r="B12" t="s">
        <v>180</v>
      </c>
      <c r="C12">
        <v>1</v>
      </c>
      <c r="D12">
        <v>0</v>
      </c>
      <c r="E12" t="s">
        <v>181</v>
      </c>
      <c r="F12" t="s">
        <v>159</v>
      </c>
      <c r="G12" t="s">
        <v>210</v>
      </c>
    </row>
    <row r="13" spans="1:7">
      <c r="A13" s="70">
        <v>46188.166666666664</v>
      </c>
      <c r="B13" t="s">
        <v>182</v>
      </c>
      <c r="C13">
        <v>5</v>
      </c>
      <c r="D13">
        <v>1</v>
      </c>
      <c r="E13" t="s">
        <v>183</v>
      </c>
      <c r="F13" t="s">
        <v>159</v>
      </c>
      <c r="G13" t="s">
        <v>211</v>
      </c>
    </row>
    <row r="14" spans="1:7">
      <c r="A14" s="70">
        <v>46188.75</v>
      </c>
      <c r="B14" t="s">
        <v>184</v>
      </c>
      <c r="C14">
        <v>0</v>
      </c>
      <c r="D14">
        <v>0</v>
      </c>
      <c r="E14" t="s">
        <v>185</v>
      </c>
      <c r="F14" t="s">
        <v>159</v>
      </c>
      <c r="G14" t="s">
        <v>212</v>
      </c>
    </row>
    <row r="15" spans="1:7">
      <c r="A15" s="70">
        <v>46188.875</v>
      </c>
      <c r="B15" t="s">
        <v>186</v>
      </c>
      <c r="C15">
        <v>1</v>
      </c>
      <c r="D15">
        <v>1</v>
      </c>
      <c r="E15" t="s">
        <v>187</v>
      </c>
      <c r="F15" t="s">
        <v>159</v>
      </c>
      <c r="G15" t="s">
        <v>166</v>
      </c>
    </row>
    <row r="16" spans="1:7">
      <c r="A16" s="70">
        <v>46189</v>
      </c>
      <c r="B16" t="s">
        <v>188</v>
      </c>
      <c r="C16">
        <v>1</v>
      </c>
      <c r="D16">
        <v>1</v>
      </c>
      <c r="E16" t="s">
        <v>189</v>
      </c>
      <c r="F16" t="s">
        <v>159</v>
      </c>
      <c r="G16" t="s">
        <v>166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190</v>
      </c>
      <c r="F17" t="s">
        <v>159</v>
      </c>
      <c r="G17" t="s">
        <v>209</v>
      </c>
    </row>
    <row r="18" spans="1:7">
      <c r="A18" s="70">
        <v>46189.875</v>
      </c>
      <c r="B18" t="s">
        <v>191</v>
      </c>
      <c r="C18">
        <v>3</v>
      </c>
      <c r="D18">
        <v>1</v>
      </c>
      <c r="E18" t="s">
        <v>55</v>
      </c>
      <c r="F18" t="s">
        <v>159</v>
      </c>
      <c r="G18" t="s">
        <v>213</v>
      </c>
    </row>
    <row r="19" spans="1:7">
      <c r="A19" s="70">
        <v>46190</v>
      </c>
      <c r="B19" t="s">
        <v>192</v>
      </c>
      <c r="C19">
        <v>1</v>
      </c>
      <c r="D19">
        <v>4</v>
      </c>
      <c r="E19" t="s">
        <v>193</v>
      </c>
      <c r="F19" t="s">
        <v>159</v>
      </c>
      <c r="G19" t="s">
        <v>214</v>
      </c>
    </row>
    <row r="20" spans="1:7">
      <c r="A20" s="70">
        <v>46190.125</v>
      </c>
      <c r="B20" t="s">
        <v>194</v>
      </c>
      <c r="C20">
        <v>3</v>
      </c>
      <c r="D20">
        <v>0</v>
      </c>
      <c r="E20" t="s">
        <v>195</v>
      </c>
      <c r="F20" t="s">
        <v>159</v>
      </c>
      <c r="G20" t="s">
        <v>215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196</v>
      </c>
      <c r="F21" t="s">
        <v>159</v>
      </c>
      <c r="G21" t="s">
        <v>213</v>
      </c>
    </row>
    <row r="22" spans="1:7">
      <c r="A22" s="70">
        <v>46190.791666666664</v>
      </c>
      <c r="B22" t="s">
        <v>197</v>
      </c>
      <c r="C22">
        <v>1</v>
      </c>
      <c r="D22">
        <v>1</v>
      </c>
      <c r="E22" t="s">
        <v>198</v>
      </c>
      <c r="F22" t="s">
        <v>159</v>
      </c>
      <c r="G22" t="s">
        <v>166</v>
      </c>
    </row>
    <row r="23" spans="1:7">
      <c r="A23" s="70">
        <v>46190.916666666664</v>
      </c>
      <c r="B23" t="s">
        <v>199</v>
      </c>
      <c r="C23">
        <v>4</v>
      </c>
      <c r="D23">
        <v>2</v>
      </c>
      <c r="E23" t="s">
        <v>200</v>
      </c>
      <c r="F23" t="s">
        <v>159</v>
      </c>
      <c r="G23" t="s">
        <v>216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159</v>
      </c>
      <c r="G24" t="s">
        <v>210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201</v>
      </c>
      <c r="F25" t="s">
        <v>159</v>
      </c>
      <c r="G25" t="s">
        <v>217</v>
      </c>
    </row>
    <row r="26" spans="1:7">
      <c r="A26" s="70">
        <v>46191.75</v>
      </c>
      <c r="B26" t="s">
        <v>162</v>
      </c>
      <c r="C26">
        <v>1</v>
      </c>
      <c r="D26">
        <v>1</v>
      </c>
      <c r="E26" t="s">
        <v>158</v>
      </c>
      <c r="F26" t="s">
        <v>159</v>
      </c>
      <c r="G26" t="s">
        <v>166</v>
      </c>
    </row>
    <row r="27" spans="1:7">
      <c r="A27" s="70">
        <v>46191.875</v>
      </c>
      <c r="B27" t="s">
        <v>171</v>
      </c>
      <c r="C27">
        <v>4</v>
      </c>
      <c r="D27">
        <v>1</v>
      </c>
      <c r="E27" t="s">
        <v>165</v>
      </c>
      <c r="F27" t="s">
        <v>159</v>
      </c>
      <c r="G27" t="s">
        <v>169</v>
      </c>
    </row>
    <row r="28" spans="1:7">
      <c r="A28" s="70">
        <v>46192</v>
      </c>
      <c r="B28" t="s">
        <v>164</v>
      </c>
      <c r="C28">
        <v>6</v>
      </c>
      <c r="D28">
        <v>0</v>
      </c>
      <c r="E28" t="s">
        <v>170</v>
      </c>
      <c r="F28" t="s">
        <v>159</v>
      </c>
      <c r="G28" t="s">
        <v>218</v>
      </c>
    </row>
    <row r="29" spans="1:7">
      <c r="A29" s="70">
        <v>46192.125</v>
      </c>
      <c r="B29" t="s">
        <v>157</v>
      </c>
      <c r="C29">
        <v>1</v>
      </c>
      <c r="D29">
        <v>0</v>
      </c>
      <c r="E29" t="s">
        <v>161</v>
      </c>
      <c r="F29" t="s">
        <v>159</v>
      </c>
      <c r="G29" t="s">
        <v>210</v>
      </c>
    </row>
    <row r="30" spans="1:7">
      <c r="A30" s="70">
        <v>46192.875</v>
      </c>
      <c r="B30" t="s">
        <v>167</v>
      </c>
      <c r="C30">
        <v>2</v>
      </c>
      <c r="D30">
        <v>0</v>
      </c>
      <c r="E30" t="s">
        <v>40</v>
      </c>
      <c r="F30" t="s">
        <v>159</v>
      </c>
      <c r="G30" t="s">
        <v>160</v>
      </c>
    </row>
    <row r="31" spans="1:7">
      <c r="A31" s="70">
        <v>46193</v>
      </c>
      <c r="B31" t="s">
        <v>174</v>
      </c>
      <c r="C31">
        <v>0</v>
      </c>
      <c r="D31">
        <v>1</v>
      </c>
      <c r="E31" t="s">
        <v>173</v>
      </c>
      <c r="F31" t="s">
        <v>159</v>
      </c>
      <c r="G31" t="s">
        <v>175</v>
      </c>
    </row>
    <row r="32" spans="1:7">
      <c r="A32" s="70">
        <v>46193.104166666664</v>
      </c>
      <c r="B32" t="s">
        <v>172</v>
      </c>
      <c r="C32">
        <v>3</v>
      </c>
      <c r="D32">
        <v>0</v>
      </c>
      <c r="E32" t="s">
        <v>37</v>
      </c>
      <c r="F32" t="s">
        <v>159</v>
      </c>
      <c r="G32" t="s">
        <v>215</v>
      </c>
    </row>
    <row r="33" spans="1:7">
      <c r="A33" s="70">
        <v>46193.208333333336</v>
      </c>
      <c r="B33" t="s">
        <v>176</v>
      </c>
      <c r="C33">
        <v>0</v>
      </c>
      <c r="D33">
        <v>1</v>
      </c>
      <c r="E33" t="s">
        <v>168</v>
      </c>
      <c r="F33" t="s">
        <v>159</v>
      </c>
      <c r="G33" t="s">
        <v>175</v>
      </c>
    </row>
    <row r="34" spans="1:7">
      <c r="A34" s="70">
        <v>46193.791666666664</v>
      </c>
      <c r="B34" t="s">
        <v>178</v>
      </c>
      <c r="C34">
        <v>5</v>
      </c>
      <c r="D34">
        <v>1</v>
      </c>
      <c r="E34" t="s">
        <v>182</v>
      </c>
      <c r="F34" t="s">
        <v>159</v>
      </c>
      <c r="G34" t="s">
        <v>211</v>
      </c>
    </row>
    <row r="35" spans="1:7">
      <c r="A35" s="70">
        <v>46193.916666666664</v>
      </c>
      <c r="B35" t="s">
        <v>177</v>
      </c>
      <c r="C35">
        <v>2</v>
      </c>
      <c r="D35">
        <v>1</v>
      </c>
      <c r="E35" t="s">
        <v>180</v>
      </c>
      <c r="F35" t="s">
        <v>159</v>
      </c>
      <c r="G35" t="s">
        <v>163</v>
      </c>
    </row>
    <row r="36" spans="1:7">
      <c r="A36" s="70">
        <v>46194.083333333336</v>
      </c>
      <c r="B36" t="s">
        <v>181</v>
      </c>
      <c r="C36">
        <v>0</v>
      </c>
      <c r="D36">
        <v>0</v>
      </c>
      <c r="E36" t="s">
        <v>41</v>
      </c>
      <c r="F36" t="s">
        <v>159</v>
      </c>
      <c r="G36" t="s">
        <v>212</v>
      </c>
    </row>
    <row r="37" spans="1:7">
      <c r="A37" s="70">
        <v>46194.25</v>
      </c>
      <c r="B37" t="s">
        <v>183</v>
      </c>
      <c r="C37">
        <v>0</v>
      </c>
      <c r="D37">
        <v>4</v>
      </c>
      <c r="E37" t="s">
        <v>179</v>
      </c>
      <c r="F37" t="s">
        <v>159</v>
      </c>
      <c r="G37" t="s">
        <v>219</v>
      </c>
    </row>
    <row r="38" spans="1:7">
      <c r="A38" s="70">
        <v>46194.75</v>
      </c>
      <c r="B38" t="s">
        <v>184</v>
      </c>
      <c r="C38">
        <v>4</v>
      </c>
      <c r="D38">
        <v>0</v>
      </c>
      <c r="E38" t="s">
        <v>188</v>
      </c>
      <c r="F38" t="s">
        <v>159</v>
      </c>
      <c r="G38" t="s">
        <v>227</v>
      </c>
    </row>
    <row r="39" spans="1:7">
      <c r="A39" s="70">
        <v>46194.875</v>
      </c>
      <c r="B39" t="s">
        <v>186</v>
      </c>
      <c r="C39">
        <v>0</v>
      </c>
      <c r="D39">
        <v>0</v>
      </c>
      <c r="E39" t="s">
        <v>49</v>
      </c>
      <c r="F39" t="s">
        <v>159</v>
      </c>
      <c r="G39" t="s">
        <v>212</v>
      </c>
    </row>
    <row r="40" spans="1:7">
      <c r="A40" s="70">
        <v>46195</v>
      </c>
      <c r="B40" t="s">
        <v>189</v>
      </c>
      <c r="C40">
        <v>2</v>
      </c>
      <c r="D40">
        <v>2</v>
      </c>
      <c r="E40" t="s">
        <v>185</v>
      </c>
      <c r="F40" t="s">
        <v>159</v>
      </c>
      <c r="G40" t="s">
        <v>209</v>
      </c>
    </row>
    <row r="41" spans="1:7">
      <c r="A41" s="70">
        <v>46195.125</v>
      </c>
      <c r="B41" t="s">
        <v>190</v>
      </c>
      <c r="C41">
        <v>1</v>
      </c>
      <c r="D41">
        <v>3</v>
      </c>
      <c r="E41" t="s">
        <v>187</v>
      </c>
      <c r="F41" t="s">
        <v>159</v>
      </c>
      <c r="G41" t="s">
        <v>217</v>
      </c>
    </row>
    <row r="42" spans="1:7">
      <c r="A42" s="70">
        <v>46195.791666666664</v>
      </c>
      <c r="B42" t="s">
        <v>194</v>
      </c>
      <c r="C42">
        <v>2</v>
      </c>
      <c r="D42">
        <v>0</v>
      </c>
      <c r="E42" t="s">
        <v>8</v>
      </c>
      <c r="F42" t="s">
        <v>159</v>
      </c>
      <c r="G42" t="s">
        <v>160</v>
      </c>
    </row>
    <row r="43" spans="1:7">
      <c r="A43" s="70">
        <v>46195.958333333336</v>
      </c>
      <c r="B43" t="s">
        <v>191</v>
      </c>
      <c r="C43">
        <v>3</v>
      </c>
      <c r="D43">
        <v>0</v>
      </c>
      <c r="E43" t="s">
        <v>192</v>
      </c>
      <c r="F43" t="s">
        <v>159</v>
      </c>
      <c r="G43" t="s">
        <v>215</v>
      </c>
    </row>
    <row r="44" spans="1:7">
      <c r="A44" s="70">
        <v>46196.083333333336</v>
      </c>
      <c r="B44" t="s">
        <v>193</v>
      </c>
      <c r="C44">
        <v>3</v>
      </c>
      <c r="D44">
        <v>2</v>
      </c>
      <c r="E44" t="s">
        <v>55</v>
      </c>
      <c r="F44" t="s">
        <v>159</v>
      </c>
      <c r="G44" t="s">
        <v>228</v>
      </c>
    </row>
    <row r="45" spans="1:7">
      <c r="A45" s="70">
        <v>46196.208333333336</v>
      </c>
      <c r="B45" t="s">
        <v>196</v>
      </c>
      <c r="C45">
        <v>1</v>
      </c>
      <c r="D45">
        <v>2</v>
      </c>
      <c r="E45" t="s">
        <v>195</v>
      </c>
      <c r="F45" t="s">
        <v>159</v>
      </c>
      <c r="G45" t="s">
        <v>229</v>
      </c>
    </row>
    <row r="46" spans="1:7">
      <c r="A46" s="70">
        <v>46196.791666666664</v>
      </c>
      <c r="B46" t="s">
        <v>197</v>
      </c>
      <c r="C46">
        <v>5</v>
      </c>
      <c r="D46">
        <v>0</v>
      </c>
      <c r="E46" t="s">
        <v>61</v>
      </c>
      <c r="F46" t="s">
        <v>159</v>
      </c>
      <c r="G46" t="s">
        <v>230</v>
      </c>
    </row>
    <row r="47" spans="1:7">
      <c r="A47" s="70">
        <v>46196.916666666664</v>
      </c>
      <c r="B47" t="s">
        <v>199</v>
      </c>
      <c r="C47">
        <v>0</v>
      </c>
      <c r="D47">
        <v>0</v>
      </c>
      <c r="E47" t="s">
        <v>64</v>
      </c>
      <c r="F47" t="s">
        <v>159</v>
      </c>
      <c r="G47" t="s">
        <v>212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200</v>
      </c>
      <c r="F48" t="s">
        <v>159</v>
      </c>
      <c r="G48" t="s">
        <v>175</v>
      </c>
    </row>
    <row r="49" spans="1:7">
      <c r="A49" s="70">
        <v>46197.166666666664</v>
      </c>
      <c r="B49" t="s">
        <v>201</v>
      </c>
      <c r="C49">
        <v>1</v>
      </c>
      <c r="D49">
        <v>0</v>
      </c>
      <c r="E49" t="s">
        <v>198</v>
      </c>
      <c r="F49" t="s">
        <v>159</v>
      </c>
      <c r="G49" t="s">
        <v>210</v>
      </c>
    </row>
    <row r="50" spans="1:7">
      <c r="A50" s="70">
        <v>46197.875</v>
      </c>
      <c r="B50" t="s">
        <v>171</v>
      </c>
      <c r="C50">
        <v>2</v>
      </c>
      <c r="D50">
        <v>1</v>
      </c>
      <c r="E50" t="s">
        <v>164</v>
      </c>
      <c r="F50" t="s">
        <v>159</v>
      </c>
      <c r="G50" t="s">
        <v>163</v>
      </c>
    </row>
    <row r="51" spans="1:7">
      <c r="A51" s="70">
        <v>46197.875</v>
      </c>
      <c r="B51" t="s">
        <v>165</v>
      </c>
      <c r="C51">
        <v>3</v>
      </c>
      <c r="D51">
        <v>1</v>
      </c>
      <c r="E51" t="s">
        <v>170</v>
      </c>
      <c r="F51" t="s">
        <v>159</v>
      </c>
      <c r="G51" t="s">
        <v>213</v>
      </c>
    </row>
    <row r="52" spans="1:7">
      <c r="A52" s="70">
        <v>46198</v>
      </c>
      <c r="B52" t="s">
        <v>174</v>
      </c>
      <c r="C52">
        <v>0</v>
      </c>
      <c r="D52">
        <v>3</v>
      </c>
      <c r="E52" t="s">
        <v>172</v>
      </c>
      <c r="F52" t="s">
        <v>159</v>
      </c>
      <c r="G52" t="s">
        <v>231</v>
      </c>
    </row>
    <row r="53" spans="1:7">
      <c r="A53" s="70">
        <v>46198</v>
      </c>
      <c r="B53" t="s">
        <v>173</v>
      </c>
      <c r="C53">
        <v>4</v>
      </c>
      <c r="D53">
        <v>2</v>
      </c>
      <c r="E53" t="s">
        <v>37</v>
      </c>
      <c r="F53" t="s">
        <v>159</v>
      </c>
      <c r="G53" t="s">
        <v>216</v>
      </c>
    </row>
    <row r="54" spans="1:7">
      <c r="A54" s="70">
        <v>46198.125</v>
      </c>
      <c r="B54" t="s">
        <v>162</v>
      </c>
      <c r="C54">
        <v>0</v>
      </c>
      <c r="D54">
        <v>3</v>
      </c>
      <c r="E54" t="s">
        <v>157</v>
      </c>
      <c r="F54" t="s">
        <v>159</v>
      </c>
      <c r="G54" t="s">
        <v>231</v>
      </c>
    </row>
    <row r="55" spans="1:7">
      <c r="A55" s="70">
        <v>46198.125</v>
      </c>
      <c r="B55" t="s">
        <v>158</v>
      </c>
      <c r="C55">
        <v>1</v>
      </c>
      <c r="D55">
        <v>0</v>
      </c>
      <c r="E55" t="s">
        <v>161</v>
      </c>
      <c r="F55" t="s">
        <v>159</v>
      </c>
      <c r="G55" t="s">
        <v>210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180</v>
      </c>
      <c r="F56" t="s">
        <v>159</v>
      </c>
      <c r="G56" t="s">
        <v>233</v>
      </c>
    </row>
    <row r="57" spans="1:7">
      <c r="A57" s="70">
        <v>46198.916666666664</v>
      </c>
      <c r="B57" t="s">
        <v>181</v>
      </c>
      <c r="C57">
        <v>2</v>
      </c>
      <c r="D57">
        <v>1</v>
      </c>
      <c r="E57" t="s">
        <v>177</v>
      </c>
      <c r="F57" t="s">
        <v>159</v>
      </c>
      <c r="G57" t="s">
        <v>163</v>
      </c>
    </row>
    <row r="58" spans="1:7">
      <c r="A58" s="70">
        <v>46199.041666666664</v>
      </c>
      <c r="B58" t="s">
        <v>179</v>
      </c>
      <c r="C58">
        <v>1</v>
      </c>
      <c r="D58">
        <v>1</v>
      </c>
      <c r="E58" t="s">
        <v>182</v>
      </c>
      <c r="F58" t="s">
        <v>159</v>
      </c>
      <c r="G58" t="s">
        <v>166</v>
      </c>
    </row>
    <row r="59" spans="1:7">
      <c r="A59" s="70">
        <v>46199.041666666664</v>
      </c>
      <c r="B59" t="s">
        <v>183</v>
      </c>
      <c r="C59">
        <v>1</v>
      </c>
      <c r="D59">
        <v>3</v>
      </c>
      <c r="E59" t="s">
        <v>178</v>
      </c>
      <c r="F59" t="s">
        <v>159</v>
      </c>
      <c r="G59" t="s">
        <v>217</v>
      </c>
    </row>
    <row r="60" spans="1:7">
      <c r="A60" s="70">
        <v>46199.166666666664</v>
      </c>
      <c r="B60" t="s">
        <v>176</v>
      </c>
      <c r="C60">
        <v>3</v>
      </c>
      <c r="D60">
        <v>2</v>
      </c>
      <c r="E60" t="s">
        <v>167</v>
      </c>
      <c r="F60" t="s">
        <v>159</v>
      </c>
      <c r="G60" t="s">
        <v>228</v>
      </c>
    </row>
    <row r="61" spans="1:7">
      <c r="A61" s="70">
        <v>46199.166666666664</v>
      </c>
      <c r="B61" t="s">
        <v>168</v>
      </c>
      <c r="C61">
        <v>0</v>
      </c>
      <c r="D61">
        <v>0</v>
      </c>
      <c r="E61" t="s">
        <v>40</v>
      </c>
      <c r="F61" t="s">
        <v>159</v>
      </c>
      <c r="G61" t="s">
        <v>212</v>
      </c>
    </row>
    <row r="62" spans="1:7">
      <c r="A62" s="70">
        <v>46199.875</v>
      </c>
      <c r="B62" t="s">
        <v>193</v>
      </c>
      <c r="C62">
        <v>1</v>
      </c>
      <c r="D62">
        <v>4</v>
      </c>
      <c r="E62" t="s">
        <v>191</v>
      </c>
      <c r="F62" t="s">
        <v>159</v>
      </c>
      <c r="G62" t="s">
        <v>214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192</v>
      </c>
      <c r="F63" t="s">
        <v>159</v>
      </c>
      <c r="G63" t="s">
        <v>230</v>
      </c>
    </row>
    <row r="64" spans="1:7">
      <c r="A64" s="70">
        <v>46200.083333333336</v>
      </c>
      <c r="B64" t="s">
        <v>185</v>
      </c>
      <c r="C64">
        <v>0</v>
      </c>
      <c r="D64">
        <v>0</v>
      </c>
      <c r="E64" t="s">
        <v>188</v>
      </c>
      <c r="F64" t="s">
        <v>159</v>
      </c>
      <c r="G64" t="s">
        <v>212</v>
      </c>
    </row>
    <row r="65" spans="1:7">
      <c r="A65" s="70">
        <v>46200.083333333336</v>
      </c>
      <c r="B65" t="s">
        <v>189</v>
      </c>
      <c r="C65">
        <v>0</v>
      </c>
      <c r="D65">
        <v>1</v>
      </c>
      <c r="E65" t="s">
        <v>184</v>
      </c>
      <c r="F65" t="s">
        <v>159</v>
      </c>
      <c r="G65" t="s">
        <v>175</v>
      </c>
    </row>
    <row r="66" spans="1:7">
      <c r="A66" s="70">
        <v>46200.208333333336</v>
      </c>
      <c r="B66" t="s">
        <v>187</v>
      </c>
      <c r="C66">
        <v>1</v>
      </c>
      <c r="D66">
        <v>1</v>
      </c>
      <c r="E66" t="s">
        <v>49</v>
      </c>
      <c r="F66" t="s">
        <v>159</v>
      </c>
      <c r="G66" t="s">
        <v>166</v>
      </c>
    </row>
    <row r="67" spans="1:7">
      <c r="A67" s="70">
        <v>46200.208333333336</v>
      </c>
      <c r="B67" t="s">
        <v>190</v>
      </c>
      <c r="C67">
        <v>1</v>
      </c>
      <c r="D67">
        <v>5</v>
      </c>
      <c r="E67" t="s">
        <v>186</v>
      </c>
      <c r="F67" t="s">
        <v>159</v>
      </c>
      <c r="G67" t="s">
        <v>234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199</v>
      </c>
      <c r="F68" t="s">
        <v>159</v>
      </c>
      <c r="G68" t="s">
        <v>233</v>
      </c>
    </row>
    <row r="69" spans="1:7">
      <c r="A69" s="70">
        <v>46200.958333333336</v>
      </c>
      <c r="B69" t="s">
        <v>200</v>
      </c>
      <c r="C69">
        <v>2</v>
      </c>
      <c r="D69">
        <v>1</v>
      </c>
      <c r="E69" t="s">
        <v>64</v>
      </c>
      <c r="F69" t="s">
        <v>159</v>
      </c>
      <c r="G69" t="s">
        <v>163</v>
      </c>
    </row>
    <row r="70" spans="1:7">
      <c r="A70" s="70">
        <v>46201.0625</v>
      </c>
      <c r="B70" t="s">
        <v>201</v>
      </c>
      <c r="C70">
        <v>0</v>
      </c>
      <c r="D70">
        <v>0</v>
      </c>
      <c r="E70" t="s">
        <v>197</v>
      </c>
      <c r="F70" t="s">
        <v>159</v>
      </c>
      <c r="G70" t="s">
        <v>212</v>
      </c>
    </row>
    <row r="71" spans="1:7">
      <c r="A71" s="70">
        <v>46201.0625</v>
      </c>
      <c r="B71" t="s">
        <v>198</v>
      </c>
      <c r="C71">
        <v>3</v>
      </c>
      <c r="D71">
        <v>1</v>
      </c>
      <c r="E71" t="s">
        <v>61</v>
      </c>
      <c r="F71" t="s">
        <v>159</v>
      </c>
      <c r="G71" t="s">
        <v>213</v>
      </c>
    </row>
    <row r="72" spans="1:7">
      <c r="A72" s="70">
        <v>46201.166666666664</v>
      </c>
      <c r="B72" t="s">
        <v>195</v>
      </c>
      <c r="C72">
        <v>3</v>
      </c>
      <c r="D72">
        <v>3</v>
      </c>
      <c r="E72" t="s">
        <v>8</v>
      </c>
      <c r="F72" t="s">
        <v>159</v>
      </c>
      <c r="G72" t="s">
        <v>235</v>
      </c>
    </row>
    <row r="73" spans="1:7">
      <c r="A73" s="70">
        <v>46201.166666666664</v>
      </c>
      <c r="B73" t="s">
        <v>196</v>
      </c>
      <c r="C73">
        <v>1</v>
      </c>
      <c r="D73">
        <v>3</v>
      </c>
      <c r="E73" t="s">
        <v>194</v>
      </c>
      <c r="F73" t="s">
        <v>159</v>
      </c>
      <c r="G73" t="s">
        <v>217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topLeftCell="A7"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152</v>
      </c>
      <c r="B2" t="s">
        <v>32</v>
      </c>
      <c r="C2" t="s">
        <v>153</v>
      </c>
      <c r="D2" t="s">
        <v>154</v>
      </c>
      <c r="E2" t="s">
        <v>33</v>
      </c>
      <c r="F2" t="s">
        <v>155</v>
      </c>
      <c r="G2" t="s">
        <v>156</v>
      </c>
      <c r="I2" t="s">
        <v>259</v>
      </c>
    </row>
    <row r="3" spans="1:9">
      <c r="A3" s="70">
        <v>46201.875</v>
      </c>
      <c r="B3" t="s">
        <v>158</v>
      </c>
      <c r="C3">
        <v>0</v>
      </c>
      <c r="D3">
        <v>1</v>
      </c>
      <c r="E3" t="s">
        <v>164</v>
      </c>
      <c r="F3" t="s">
        <v>159</v>
      </c>
      <c r="G3" t="s">
        <v>175</v>
      </c>
      <c r="I3" t="s">
        <v>260</v>
      </c>
    </row>
    <row r="4" spans="1:9">
      <c r="A4" s="70">
        <v>46202.791666666664</v>
      </c>
      <c r="B4" t="s">
        <v>172</v>
      </c>
      <c r="C4">
        <v>2</v>
      </c>
      <c r="D4">
        <v>1</v>
      </c>
      <c r="E4" t="s">
        <v>179</v>
      </c>
      <c r="F4" t="s">
        <v>159</v>
      </c>
      <c r="G4" t="s">
        <v>163</v>
      </c>
      <c r="I4" t="s">
        <v>261</v>
      </c>
    </row>
    <row r="5" spans="1:9">
      <c r="A5" s="70">
        <v>46202.9375</v>
      </c>
      <c r="B5" t="s">
        <v>177</v>
      </c>
      <c r="C5">
        <v>1</v>
      </c>
      <c r="D5">
        <v>1</v>
      </c>
      <c r="E5" t="s">
        <v>168</v>
      </c>
      <c r="F5" t="s">
        <v>159</v>
      </c>
      <c r="G5" t="s">
        <v>277</v>
      </c>
    </row>
    <row r="6" spans="1:9">
      <c r="A6" s="70">
        <v>46203.125</v>
      </c>
      <c r="B6" t="s">
        <v>178</v>
      </c>
      <c r="C6">
        <v>1</v>
      </c>
      <c r="D6">
        <v>1</v>
      </c>
      <c r="E6" t="s">
        <v>173</v>
      </c>
      <c r="F6" t="s">
        <v>159</v>
      </c>
      <c r="G6" t="s">
        <v>277</v>
      </c>
    </row>
    <row r="7" spans="1:9">
      <c r="A7" s="70">
        <v>46203.791666666664</v>
      </c>
      <c r="B7" t="s">
        <v>180</v>
      </c>
      <c r="C7">
        <v>1</v>
      </c>
      <c r="D7">
        <v>2</v>
      </c>
      <c r="E7" t="s">
        <v>193</v>
      </c>
      <c r="F7" t="s">
        <v>159</v>
      </c>
      <c r="G7" t="s">
        <v>229</v>
      </c>
    </row>
    <row r="8" spans="1:9">
      <c r="A8" s="70">
        <v>46203.958333333336</v>
      </c>
      <c r="B8" t="s">
        <v>191</v>
      </c>
      <c r="C8">
        <v>3</v>
      </c>
      <c r="D8">
        <v>0</v>
      </c>
      <c r="E8" t="s">
        <v>182</v>
      </c>
      <c r="F8" t="s">
        <v>159</v>
      </c>
      <c r="G8" t="s">
        <v>215</v>
      </c>
    </row>
    <row r="9" spans="1:9">
      <c r="A9" s="70">
        <v>46204.166666666664</v>
      </c>
      <c r="B9" t="s">
        <v>157</v>
      </c>
      <c r="C9">
        <v>2</v>
      </c>
      <c r="D9">
        <v>0</v>
      </c>
      <c r="E9" t="s">
        <v>181</v>
      </c>
      <c r="F9" t="s">
        <v>159</v>
      </c>
      <c r="G9" t="s">
        <v>160</v>
      </c>
    </row>
    <row r="10" spans="1:9">
      <c r="A10" s="70">
        <v>46204.75</v>
      </c>
      <c r="B10" t="s">
        <v>199</v>
      </c>
      <c r="C10">
        <v>2</v>
      </c>
      <c r="D10">
        <v>1</v>
      </c>
      <c r="E10" t="s">
        <v>198</v>
      </c>
      <c r="F10" t="s">
        <v>159</v>
      </c>
      <c r="G10" t="s">
        <v>163</v>
      </c>
    </row>
    <row r="11" spans="1:9">
      <c r="A11" s="70">
        <v>46204.916666666664</v>
      </c>
      <c r="B11" t="s">
        <v>186</v>
      </c>
      <c r="C11">
        <v>3</v>
      </c>
      <c r="D11">
        <v>2</v>
      </c>
      <c r="E11" t="s">
        <v>55</v>
      </c>
      <c r="F11" t="s">
        <v>159</v>
      </c>
      <c r="G11" t="s">
        <v>278</v>
      </c>
    </row>
    <row r="12" spans="1:9">
      <c r="A12" s="70">
        <v>46205.083333333336</v>
      </c>
      <c r="B12" t="s">
        <v>167</v>
      </c>
      <c r="C12">
        <v>2</v>
      </c>
      <c r="D12">
        <v>0</v>
      </c>
      <c r="E12" t="s">
        <v>165</v>
      </c>
      <c r="F12" t="s">
        <v>159</v>
      </c>
      <c r="G12" t="s">
        <v>160</v>
      </c>
    </row>
    <row r="13" spans="1:9">
      <c r="A13" s="70">
        <v>46205.875</v>
      </c>
      <c r="B13" t="s">
        <v>184</v>
      </c>
      <c r="C13">
        <v>3</v>
      </c>
      <c r="D13">
        <v>0</v>
      </c>
      <c r="E13" t="s">
        <v>8</v>
      </c>
      <c r="F13" t="s">
        <v>159</v>
      </c>
      <c r="G13" t="s">
        <v>215</v>
      </c>
    </row>
    <row r="14" spans="1:9">
      <c r="A14" s="70">
        <v>46206.041666666664</v>
      </c>
      <c r="B14" t="s">
        <v>197</v>
      </c>
      <c r="C14">
        <v>2</v>
      </c>
      <c r="D14">
        <v>1</v>
      </c>
      <c r="E14" t="s">
        <v>200</v>
      </c>
      <c r="F14" t="s">
        <v>159</v>
      </c>
      <c r="G14" t="s">
        <v>163</v>
      </c>
    </row>
    <row r="15" spans="1:9">
      <c r="A15" s="70">
        <v>46206.208333333336</v>
      </c>
      <c r="B15" t="s">
        <v>171</v>
      </c>
      <c r="C15">
        <v>2</v>
      </c>
      <c r="D15">
        <v>0</v>
      </c>
      <c r="E15" t="s">
        <v>195</v>
      </c>
      <c r="F15" t="s">
        <v>159</v>
      </c>
      <c r="G15" t="s">
        <v>160</v>
      </c>
    </row>
    <row r="16" spans="1:9">
      <c r="A16" s="70">
        <v>46206.833333333336</v>
      </c>
      <c r="B16" t="s">
        <v>40</v>
      </c>
      <c r="C16">
        <v>1</v>
      </c>
      <c r="D16">
        <v>1</v>
      </c>
      <c r="E16" t="s">
        <v>187</v>
      </c>
      <c r="F16" t="s">
        <v>159</v>
      </c>
      <c r="G16" t="s">
        <v>277</v>
      </c>
    </row>
    <row r="17" spans="1:7">
      <c r="A17" s="70">
        <v>46207</v>
      </c>
      <c r="B17" t="s">
        <v>194</v>
      </c>
      <c r="C17">
        <v>3</v>
      </c>
      <c r="D17">
        <v>2</v>
      </c>
      <c r="E17" t="s">
        <v>185</v>
      </c>
      <c r="F17" t="s">
        <v>159</v>
      </c>
      <c r="G17" t="s">
        <v>278</v>
      </c>
    </row>
    <row r="18" spans="1:7">
      <c r="A18" s="70">
        <v>46207.145833333336</v>
      </c>
      <c r="B18" t="s">
        <v>201</v>
      </c>
      <c r="C18">
        <v>1</v>
      </c>
      <c r="D18">
        <v>0</v>
      </c>
      <c r="E18" t="s">
        <v>64</v>
      </c>
      <c r="F18" t="s">
        <v>159</v>
      </c>
      <c r="G18" t="s">
        <v>210</v>
      </c>
    </row>
    <row r="19" spans="1:7">
      <c r="A19" s="70">
        <v>46207.791666666664</v>
      </c>
      <c r="B19" t="s">
        <v>164</v>
      </c>
      <c r="C19">
        <v>0</v>
      </c>
      <c r="D19">
        <v>3</v>
      </c>
      <c r="E19" t="s">
        <v>173</v>
      </c>
      <c r="F19" t="s">
        <v>159</v>
      </c>
      <c r="G19" t="s">
        <v>231</v>
      </c>
    </row>
    <row r="20" spans="1:7">
      <c r="A20" s="70">
        <v>46207.958333333336</v>
      </c>
      <c r="B20" t="s">
        <v>168</v>
      </c>
      <c r="C20">
        <v>0</v>
      </c>
      <c r="D20">
        <v>1</v>
      </c>
      <c r="E20" t="s">
        <v>191</v>
      </c>
      <c r="F20" t="s">
        <v>159</v>
      </c>
      <c r="G20" t="s">
        <v>175</v>
      </c>
    </row>
    <row r="21" spans="1:7">
      <c r="A21" s="70">
        <v>46208.916666666664</v>
      </c>
      <c r="B21" t="s">
        <v>172</v>
      </c>
      <c r="C21">
        <v>1</v>
      </c>
      <c r="D21">
        <v>2</v>
      </c>
      <c r="E21" t="s">
        <v>193</v>
      </c>
      <c r="F21" t="s">
        <v>159</v>
      </c>
      <c r="G21" t="s">
        <v>229</v>
      </c>
    </row>
    <row r="22" spans="1:7">
      <c r="A22" s="70">
        <v>46209.125</v>
      </c>
      <c r="B22" t="s">
        <v>157</v>
      </c>
      <c r="C22">
        <v>2</v>
      </c>
      <c r="D22">
        <v>3</v>
      </c>
      <c r="E22" t="s">
        <v>199</v>
      </c>
      <c r="F22" t="s">
        <v>159</v>
      </c>
      <c r="G22" t="s">
        <v>279</v>
      </c>
    </row>
    <row r="23" spans="1:7">
      <c r="A23" s="70">
        <v>46209.875</v>
      </c>
      <c r="B23" t="s">
        <v>197</v>
      </c>
      <c r="C23">
        <v>0</v>
      </c>
      <c r="D23">
        <v>1</v>
      </c>
      <c r="E23" t="s">
        <v>184</v>
      </c>
      <c r="F23" t="s">
        <v>159</v>
      </c>
      <c r="G23" t="s">
        <v>175</v>
      </c>
    </row>
    <row r="24" spans="1:7">
      <c r="A24" s="70">
        <v>46210.083333333336</v>
      </c>
      <c r="B24" t="s">
        <v>167</v>
      </c>
      <c r="C24">
        <v>1</v>
      </c>
      <c r="D24">
        <v>4</v>
      </c>
      <c r="E24" t="s">
        <v>186</v>
      </c>
      <c r="F24" t="s">
        <v>159</v>
      </c>
      <c r="G24" t="s">
        <v>214</v>
      </c>
    </row>
    <row r="25" spans="1:7">
      <c r="A25" s="70">
        <v>46210.75</v>
      </c>
      <c r="B25" t="s">
        <v>194</v>
      </c>
      <c r="C25">
        <v>3</v>
      </c>
      <c r="D25">
        <v>2</v>
      </c>
      <c r="E25" t="s">
        <v>187</v>
      </c>
      <c r="F25" t="s">
        <v>159</v>
      </c>
      <c r="G25" t="s">
        <v>228</v>
      </c>
    </row>
    <row r="26" spans="1:7">
      <c r="A26" s="70">
        <v>46210.916666666664</v>
      </c>
      <c r="B26" t="s">
        <v>171</v>
      </c>
      <c r="C26">
        <v>0</v>
      </c>
      <c r="D26">
        <v>0</v>
      </c>
      <c r="E26" t="s">
        <v>201</v>
      </c>
      <c r="F26" t="s">
        <v>159</v>
      </c>
      <c r="G26" t="s">
        <v>280</v>
      </c>
    </row>
    <row r="27" spans="1:7">
      <c r="A27" s="70">
        <v>46212.916666666664</v>
      </c>
      <c r="B27" t="s">
        <v>191</v>
      </c>
      <c r="E27" t="s">
        <v>173</v>
      </c>
      <c r="F27" t="s">
        <v>262</v>
      </c>
      <c r="G27" t="s">
        <v>263</v>
      </c>
    </row>
    <row r="28" spans="1:7">
      <c r="A28" s="70">
        <v>46213.875</v>
      </c>
      <c r="B28" t="s">
        <v>184</v>
      </c>
      <c r="E28" t="s">
        <v>186</v>
      </c>
      <c r="F28" t="s">
        <v>262</v>
      </c>
      <c r="G28" t="s">
        <v>264</v>
      </c>
    </row>
    <row r="29" spans="1:7">
      <c r="A29" s="70">
        <v>46214.958333333336</v>
      </c>
      <c r="B29" t="s">
        <v>193</v>
      </c>
      <c r="E29" t="s">
        <v>199</v>
      </c>
      <c r="F29" t="s">
        <v>262</v>
      </c>
      <c r="G29" t="s">
        <v>265</v>
      </c>
    </row>
    <row r="30" spans="1:7">
      <c r="A30" s="70">
        <v>46215.125</v>
      </c>
      <c r="B30" t="s">
        <v>194</v>
      </c>
      <c r="E30" t="s">
        <v>171</v>
      </c>
      <c r="F30" t="s">
        <v>262</v>
      </c>
      <c r="G30" t="s">
        <v>266</v>
      </c>
    </row>
    <row r="31" spans="1:7">
      <c r="A31" s="70">
        <v>46217.875</v>
      </c>
      <c r="B31" t="s">
        <v>66</v>
      </c>
      <c r="E31" t="s">
        <v>67</v>
      </c>
      <c r="F31" t="s">
        <v>262</v>
      </c>
      <c r="G31" t="s">
        <v>267</v>
      </c>
    </row>
    <row r="32" spans="1:7">
      <c r="A32" s="70">
        <v>46218.875</v>
      </c>
      <c r="B32" t="s">
        <v>68</v>
      </c>
      <c r="E32" t="s">
        <v>69</v>
      </c>
      <c r="F32" t="s">
        <v>262</v>
      </c>
      <c r="G32" t="s">
        <v>268</v>
      </c>
    </row>
    <row r="33" spans="1:7">
      <c r="A33" s="70">
        <v>46221.958333333336</v>
      </c>
      <c r="B33" t="s">
        <v>70</v>
      </c>
      <c r="E33" t="s">
        <v>71</v>
      </c>
      <c r="F33" t="s">
        <v>262</v>
      </c>
      <c r="G33" t="s">
        <v>269</v>
      </c>
    </row>
    <row r="34" spans="1:7">
      <c r="A34" s="70">
        <v>46222.875</v>
      </c>
      <c r="B34" t="s">
        <v>72</v>
      </c>
      <c r="E34" t="s">
        <v>73</v>
      </c>
      <c r="F34" t="s">
        <v>262</v>
      </c>
      <c r="G34" t="s">
        <v>270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activeCell="B25" sqref="B25"/>
    </sheetView>
  </sheetViews>
  <sheetFormatPr defaultRowHeight="13.2"/>
  <cols>
    <col min="1" max="1" width="16.88671875" bestFit="1" customWidth="1"/>
    <col min="2" max="3" width="16.1093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79</v>
      </c>
      <c r="B1" t="s">
        <v>32</v>
      </c>
      <c r="C1" t="s">
        <v>33</v>
      </c>
      <c r="D1" s="127" t="s">
        <v>139</v>
      </c>
      <c r="E1" s="128"/>
      <c r="F1" s="128"/>
    </row>
    <row r="2" spans="1:9">
      <c r="A2" t="s">
        <v>80</v>
      </c>
      <c r="B2" t="s">
        <v>66</v>
      </c>
      <c r="C2" t="s">
        <v>67</v>
      </c>
      <c r="D2" s="107"/>
      <c r="E2" s="111" t="s">
        <v>0</v>
      </c>
      <c r="F2" s="107"/>
    </row>
    <row r="3" spans="1:9">
      <c r="A3" t="s">
        <v>80</v>
      </c>
      <c r="B3" t="s">
        <v>68</v>
      </c>
      <c r="C3" t="s">
        <v>69</v>
      </c>
      <c r="D3" s="107"/>
      <c r="E3" s="111" t="s">
        <v>0</v>
      </c>
      <c r="F3" s="107"/>
      <c r="I3" s="42" t="s">
        <v>259</v>
      </c>
    </row>
    <row r="4" spans="1:9">
      <c r="D4" s="107"/>
      <c r="E4" s="111" t="s">
        <v>0</v>
      </c>
      <c r="F4" s="107"/>
      <c r="I4" s="42" t="s">
        <v>260</v>
      </c>
    </row>
    <row r="5" spans="1:9">
      <c r="A5" t="s">
        <v>81</v>
      </c>
      <c r="B5" t="s">
        <v>70</v>
      </c>
      <c r="C5" t="s">
        <v>71</v>
      </c>
      <c r="D5" s="107"/>
      <c r="E5" s="111" t="s">
        <v>0</v>
      </c>
      <c r="F5" s="107"/>
      <c r="I5" s="42" t="s">
        <v>261</v>
      </c>
    </row>
    <row r="6" spans="1:9">
      <c r="D6" s="107"/>
      <c r="E6" s="111" t="s">
        <v>0</v>
      </c>
      <c r="F6" s="107"/>
    </row>
    <row r="7" spans="1:9">
      <c r="A7" t="s">
        <v>82</v>
      </c>
      <c r="B7" t="s">
        <v>72</v>
      </c>
      <c r="C7" t="s">
        <v>73</v>
      </c>
      <c r="D7" s="107"/>
      <c r="E7" s="111" t="s">
        <v>0</v>
      </c>
      <c r="F7" s="107"/>
    </row>
    <row r="8" spans="1:9">
      <c r="D8" s="107"/>
      <c r="E8" s="111" t="s">
        <v>0</v>
      </c>
      <c r="F8" s="107"/>
    </row>
    <row r="9" spans="1:9">
      <c r="D9" s="107"/>
      <c r="E9" s="111" t="s">
        <v>0</v>
      </c>
      <c r="F9" s="107"/>
    </row>
    <row r="10" spans="1:9">
      <c r="D10" s="107"/>
      <c r="E10" s="111" t="s">
        <v>0</v>
      </c>
      <c r="F10" s="107"/>
    </row>
    <row r="11" spans="1:9">
      <c r="D11" s="107"/>
      <c r="E11" s="111" t="s">
        <v>0</v>
      </c>
      <c r="F11" s="107"/>
    </row>
    <row r="12" spans="1:9">
      <c r="D12" s="107"/>
      <c r="E12" s="111" t="s">
        <v>0</v>
      </c>
      <c r="F12" s="107"/>
    </row>
    <row r="13" spans="1:9">
      <c r="D13" s="107"/>
      <c r="E13" s="111" t="s">
        <v>0</v>
      </c>
      <c r="F13" s="107"/>
    </row>
    <row r="14" spans="1:9">
      <c r="D14" s="107"/>
      <c r="E14" s="111" t="s">
        <v>0</v>
      </c>
      <c r="F14" s="107"/>
    </row>
    <row r="15" spans="1:9">
      <c r="D15" s="107"/>
      <c r="E15" s="111" t="s">
        <v>0</v>
      </c>
      <c r="F15" s="107"/>
    </row>
    <row r="16" spans="1:9">
      <c r="D16" s="107"/>
      <c r="E16" s="111" t="s">
        <v>0</v>
      </c>
      <c r="F16" s="107"/>
    </row>
    <row r="17" spans="4:6">
      <c r="D17" s="107"/>
      <c r="E17" s="111" t="s">
        <v>0</v>
      </c>
      <c r="F17" s="107"/>
    </row>
    <row r="19" spans="4:6">
      <c r="D19" s="108"/>
      <c r="E19" s="111" t="s">
        <v>0</v>
      </c>
      <c r="F19" s="108"/>
    </row>
    <row r="20" spans="4:6">
      <c r="D20" s="108"/>
      <c r="E20" s="111" t="s">
        <v>0</v>
      </c>
      <c r="F20" s="108"/>
    </row>
    <row r="21" spans="4:6">
      <c r="D21" s="108"/>
      <c r="E21" s="111" t="s">
        <v>0</v>
      </c>
      <c r="F21" s="108"/>
    </row>
    <row r="22" spans="4:6">
      <c r="D22" s="108"/>
      <c r="E22" s="111" t="s">
        <v>0</v>
      </c>
      <c r="F22" s="108"/>
    </row>
    <row r="23" spans="4:6">
      <c r="D23" s="108"/>
      <c r="E23" s="111" t="s">
        <v>0</v>
      </c>
      <c r="F23" s="108"/>
    </row>
    <row r="24" spans="4:6">
      <c r="D24" s="108"/>
      <c r="E24" s="111" t="s">
        <v>0</v>
      </c>
      <c r="F24" s="108"/>
    </row>
    <row r="25" spans="4:6">
      <c r="D25" s="108"/>
      <c r="E25" s="111" t="s">
        <v>0</v>
      </c>
      <c r="F25" s="108"/>
    </row>
    <row r="26" spans="4:6">
      <c r="D26" s="108"/>
      <c r="E26" s="111" t="s">
        <v>0</v>
      </c>
      <c r="F26" s="108"/>
    </row>
    <row r="27" spans="4:6">
      <c r="E27" s="111"/>
    </row>
    <row r="28" spans="4:6">
      <c r="D28" s="109"/>
      <c r="E28" s="111" t="s">
        <v>0</v>
      </c>
      <c r="F28" s="109"/>
    </row>
    <row r="29" spans="4:6">
      <c r="D29" s="109"/>
      <c r="E29" s="111" t="s">
        <v>0</v>
      </c>
      <c r="F29" s="109"/>
    </row>
    <row r="30" spans="4:6">
      <c r="D30" s="109"/>
      <c r="E30" s="111" t="s">
        <v>0</v>
      </c>
      <c r="F30" s="109"/>
    </row>
    <row r="31" spans="4:6">
      <c r="D31" s="109"/>
      <c r="E31" s="111" t="s">
        <v>0</v>
      </c>
      <c r="F31" s="109"/>
    </row>
    <row r="32" spans="4:6">
      <c r="E32" s="111"/>
    </row>
    <row r="33" spans="4:6">
      <c r="D33" s="110"/>
      <c r="E33" s="111" t="s">
        <v>0</v>
      </c>
      <c r="F33" s="110"/>
    </row>
    <row r="34" spans="4:6">
      <c r="D34" s="110"/>
      <c r="E34" s="111" t="s">
        <v>0</v>
      </c>
      <c r="F34" s="110"/>
    </row>
    <row r="35" spans="4:6">
      <c r="E35" s="111"/>
    </row>
    <row r="36" spans="4:6">
      <c r="D36" s="45"/>
      <c r="E36" s="111" t="s">
        <v>0</v>
      </c>
      <c r="F36" s="45"/>
    </row>
    <row r="37" spans="4:6">
      <c r="E37" s="111"/>
    </row>
    <row r="38" spans="4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131</v>
      </c>
      <c r="C1" s="80"/>
    </row>
    <row r="2" spans="1:6" ht="18" customHeight="1" thickBot="1">
      <c r="A2" s="72" t="s">
        <v>9</v>
      </c>
      <c r="B2" s="122" t="s">
        <v>22</v>
      </c>
      <c r="C2" s="123"/>
      <c r="D2" s="124" t="s">
        <v>2</v>
      </c>
      <c r="E2" s="125"/>
      <c r="F2" s="126"/>
    </row>
    <row r="3" spans="1:6" ht="13.8">
      <c r="A3" s="71">
        <v>46184.875</v>
      </c>
      <c r="B3" s="32" t="s">
        <v>98</v>
      </c>
      <c r="C3" s="33" t="s">
        <v>99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100</v>
      </c>
      <c r="C4" s="33" t="s">
        <v>101</v>
      </c>
      <c r="D4" s="43"/>
      <c r="E4" s="44" t="s">
        <v>0</v>
      </c>
      <c r="F4" s="43"/>
    </row>
    <row r="5" spans="1:6" ht="13.8">
      <c r="A5" s="71">
        <v>46185.875</v>
      </c>
      <c r="B5" s="32" t="s">
        <v>102</v>
      </c>
      <c r="C5" s="33" t="s">
        <v>103</v>
      </c>
      <c r="D5" s="43"/>
      <c r="E5" s="44" t="s">
        <v>0</v>
      </c>
      <c r="F5" s="43"/>
    </row>
    <row r="6" spans="1:6" ht="13.8">
      <c r="A6" s="71">
        <v>46186.125</v>
      </c>
      <c r="B6" s="32" t="s">
        <v>104</v>
      </c>
      <c r="C6" s="33" t="s">
        <v>105</v>
      </c>
      <c r="D6" s="43"/>
      <c r="E6" s="44" t="s">
        <v>0</v>
      </c>
      <c r="F6" s="43"/>
    </row>
    <row r="7" spans="1:6" ht="13.8">
      <c r="A7" s="71">
        <v>46186.875</v>
      </c>
      <c r="B7" s="32" t="s">
        <v>106</v>
      </c>
      <c r="C7" s="33" t="s">
        <v>92</v>
      </c>
      <c r="D7" s="43"/>
      <c r="E7" s="44" t="s">
        <v>0</v>
      </c>
      <c r="F7" s="43"/>
    </row>
    <row r="8" spans="1:6" ht="13.8">
      <c r="A8" s="71">
        <v>46187</v>
      </c>
      <c r="B8" s="32" t="s">
        <v>107</v>
      </c>
      <c r="C8" s="33" t="s">
        <v>108</v>
      </c>
      <c r="D8" s="43"/>
      <c r="E8" s="44" t="s">
        <v>0</v>
      </c>
      <c r="F8" s="43"/>
    </row>
    <row r="9" spans="1:6" ht="13.8">
      <c r="A9" s="71">
        <v>46187.125</v>
      </c>
      <c r="B9" s="32" t="s">
        <v>83</v>
      </c>
      <c r="C9" s="33" t="s">
        <v>93</v>
      </c>
      <c r="D9" s="43"/>
      <c r="E9" s="44" t="s">
        <v>0</v>
      </c>
      <c r="F9" s="43"/>
    </row>
    <row r="10" spans="1:6" ht="13.8">
      <c r="A10" s="71">
        <v>46187.25</v>
      </c>
      <c r="B10" s="32" t="s">
        <v>84</v>
      </c>
      <c r="C10" s="33" t="s">
        <v>94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109</v>
      </c>
      <c r="C11" s="33" t="s">
        <v>89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95</v>
      </c>
      <c r="C12" s="33" t="s">
        <v>110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111</v>
      </c>
      <c r="C13" s="33" t="s">
        <v>112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113</v>
      </c>
      <c r="C14" s="33" t="s">
        <v>114</v>
      </c>
      <c r="D14" s="43"/>
      <c r="E14" s="44" t="s">
        <v>0</v>
      </c>
      <c r="F14" s="43"/>
    </row>
    <row r="15" spans="1:6" ht="13.8">
      <c r="A15" s="71">
        <v>46188.75</v>
      </c>
      <c r="B15" s="32" t="s">
        <v>96</v>
      </c>
      <c r="C15" s="33" t="s">
        <v>115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116</v>
      </c>
      <c r="C16" s="33" t="s">
        <v>117</v>
      </c>
      <c r="D16" s="43"/>
      <c r="E16" s="44" t="s">
        <v>0</v>
      </c>
      <c r="F16" s="43"/>
    </row>
    <row r="17" spans="1:6" ht="13.8">
      <c r="A17" s="71">
        <v>46189</v>
      </c>
      <c r="B17" s="32" t="s">
        <v>118</v>
      </c>
      <c r="C17" s="33" t="s">
        <v>119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85</v>
      </c>
      <c r="C18" s="33" t="s">
        <v>120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121</v>
      </c>
      <c r="C19" s="33" t="s">
        <v>90</v>
      </c>
      <c r="D19" s="43"/>
      <c r="E19" s="44" t="s">
        <v>0</v>
      </c>
      <c r="F19" s="43"/>
    </row>
    <row r="20" spans="1:6" ht="13.8">
      <c r="A20" s="71">
        <v>46190</v>
      </c>
      <c r="B20" s="32" t="s">
        <v>122</v>
      </c>
      <c r="C20" s="33" t="s">
        <v>123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124</v>
      </c>
      <c r="C21" s="33" t="s">
        <v>125</v>
      </c>
      <c r="D21" s="43"/>
      <c r="E21" s="44" t="s">
        <v>0</v>
      </c>
      <c r="F21" s="43"/>
    </row>
    <row r="22" spans="1:6" ht="13.8">
      <c r="A22" s="71">
        <v>46190.25</v>
      </c>
      <c r="B22" s="32" t="s">
        <v>86</v>
      </c>
      <c r="C22" s="33" t="s">
        <v>126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127</v>
      </c>
      <c r="C23" s="33" t="s">
        <v>128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129</v>
      </c>
      <c r="C24" s="33" t="s">
        <v>97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88</v>
      </c>
      <c r="C25" s="33" t="s">
        <v>91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87</v>
      </c>
      <c r="C26" s="33" t="s">
        <v>130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101</v>
      </c>
      <c r="C28" s="41" t="s">
        <v>99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92</v>
      </c>
      <c r="C29" s="41" t="s">
        <v>103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98</v>
      </c>
      <c r="C30" s="41" t="s">
        <v>100</v>
      </c>
      <c r="D30" s="43"/>
      <c r="E30" s="44" t="s">
        <v>0</v>
      </c>
      <c r="F30" s="43"/>
    </row>
    <row r="31" spans="1:6" ht="13.8">
      <c r="A31" s="71">
        <v>46192</v>
      </c>
      <c r="B31" s="40" t="s">
        <v>102</v>
      </c>
      <c r="C31" s="41" t="s">
        <v>106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104</v>
      </c>
      <c r="C32" s="41" t="s">
        <v>84</v>
      </c>
      <c r="D32" s="43"/>
      <c r="E32" s="44" t="s">
        <v>0</v>
      </c>
      <c r="F32" s="43"/>
    </row>
    <row r="33" spans="1:6" ht="13.8">
      <c r="A33" s="71">
        <v>46193</v>
      </c>
      <c r="B33" s="40" t="s">
        <v>93</v>
      </c>
      <c r="C33" s="41" t="s">
        <v>108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107</v>
      </c>
      <c r="C34" s="41" t="s">
        <v>83</v>
      </c>
      <c r="D34" s="43"/>
      <c r="E34" s="44" t="s">
        <v>0</v>
      </c>
      <c r="F34" s="43"/>
    </row>
    <row r="35" spans="1:6" ht="13.8">
      <c r="A35" s="71">
        <v>46193.25</v>
      </c>
      <c r="B35" s="40" t="s">
        <v>94</v>
      </c>
      <c r="C35" s="41" t="s">
        <v>105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109</v>
      </c>
      <c r="C36" s="41" t="s">
        <v>111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95</v>
      </c>
      <c r="C37" s="41" t="s">
        <v>113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112</v>
      </c>
      <c r="C38" s="41" t="s">
        <v>89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114</v>
      </c>
      <c r="C39" s="41" t="s">
        <v>110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116</v>
      </c>
      <c r="C40" s="41" t="s">
        <v>85</v>
      </c>
      <c r="D40" s="43"/>
      <c r="E40" s="44" t="s">
        <v>0</v>
      </c>
      <c r="F40" s="43"/>
    </row>
    <row r="41" spans="1:6" ht="13.8">
      <c r="A41" s="71">
        <v>46194.75</v>
      </c>
      <c r="B41" s="40" t="s">
        <v>96</v>
      </c>
      <c r="C41" s="41" t="s">
        <v>118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120</v>
      </c>
      <c r="C42" s="41" t="s">
        <v>117</v>
      </c>
      <c r="D42" s="43"/>
      <c r="E42" s="44" t="s">
        <v>0</v>
      </c>
      <c r="F42" s="43"/>
    </row>
    <row r="43" spans="1:6" ht="13.8">
      <c r="A43" s="71">
        <v>46195</v>
      </c>
      <c r="B43" s="40" t="s">
        <v>119</v>
      </c>
      <c r="C43" s="41" t="s">
        <v>115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121</v>
      </c>
      <c r="C44" s="41" t="s">
        <v>122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124</v>
      </c>
      <c r="C45" s="41" t="s">
        <v>86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123</v>
      </c>
      <c r="C46" s="41" t="s">
        <v>90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126</v>
      </c>
      <c r="C47" s="41" t="s">
        <v>125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127</v>
      </c>
      <c r="C48" s="41" t="s">
        <v>87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129</v>
      </c>
      <c r="C49" s="41" t="s">
        <v>88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130</v>
      </c>
      <c r="C50" s="41" t="s">
        <v>128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91</v>
      </c>
      <c r="C51" s="41" t="s">
        <v>97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92</v>
      </c>
      <c r="C53" s="35" t="s">
        <v>102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103</v>
      </c>
      <c r="C54" s="35" t="s">
        <v>106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101</v>
      </c>
      <c r="C55" s="35" t="s">
        <v>98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99</v>
      </c>
      <c r="C56" s="35" t="s">
        <v>100</v>
      </c>
      <c r="D56" s="43"/>
      <c r="E56" s="44" t="s">
        <v>0</v>
      </c>
      <c r="F56" s="43"/>
    </row>
    <row r="57" spans="1:6" ht="13.8">
      <c r="A57" s="71">
        <v>46198.75</v>
      </c>
      <c r="B57" s="34" t="s">
        <v>93</v>
      </c>
      <c r="C57" s="35" t="s">
        <v>107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108</v>
      </c>
      <c r="C58" s="35" t="s">
        <v>83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89</v>
      </c>
      <c r="C59" s="35" t="s">
        <v>111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112</v>
      </c>
      <c r="C60" s="35" t="s">
        <v>109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94</v>
      </c>
      <c r="C61" s="35" t="s">
        <v>104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105</v>
      </c>
      <c r="C62" s="35" t="s">
        <v>84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110</v>
      </c>
      <c r="C63" s="35" t="s">
        <v>113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114</v>
      </c>
      <c r="C64" s="35" t="s">
        <v>95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123</v>
      </c>
      <c r="C65" s="35" t="s">
        <v>121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90</v>
      </c>
      <c r="C66" s="35" t="s">
        <v>122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117</v>
      </c>
      <c r="C67" s="35" t="s">
        <v>85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120</v>
      </c>
      <c r="C68" s="35" t="s">
        <v>116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115</v>
      </c>
      <c r="C69" s="35" t="s">
        <v>118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119</v>
      </c>
      <c r="C70" s="35" t="s">
        <v>96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91</v>
      </c>
      <c r="C71" s="35" t="s">
        <v>129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97</v>
      </c>
      <c r="C72" s="35" t="s">
        <v>88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125</v>
      </c>
      <c r="C73" s="35" t="s">
        <v>86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126</v>
      </c>
      <c r="C74" s="37" t="s">
        <v>124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130</v>
      </c>
      <c r="C75" s="37" t="s">
        <v>127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128</v>
      </c>
      <c r="C76" s="39" t="s">
        <v>87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2026-07-09T14:24:47Z</dcterms:modified>
</cp:coreProperties>
</file>